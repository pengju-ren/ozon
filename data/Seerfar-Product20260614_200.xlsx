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center"/>
    </xf>
    <xf numFmtId="0" fontId="2" fillId="0" borderId="0" xfId="0" applyAlignment="true" applyFon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20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</cols>
  <sheetData>
    <row r="1">
      <c r="A1" s="1" t="inlineStr">
        <is>
          <t>排名</t>
        </is>
      </c>
      <c r="B1" s="1" t="inlineStr">
        <is>
          <t>主图</t>
        </is>
      </c>
      <c r="C1" s="1" t="inlineStr">
        <is>
          <t>主图</t>
        </is>
      </c>
      <c r="D1" s="1" t="inlineStr">
        <is>
          <t>标题</t>
        </is>
      </c>
      <c r="E1" s="1" t="inlineStr">
        <is>
          <t>详情页地址</t>
        </is>
      </c>
      <c r="F1" s="1" t="inlineStr">
        <is>
          <t>SKU</t>
        </is>
      </c>
      <c r="G1" s="1" t="inlineStr">
        <is>
          <t>品牌</t>
        </is>
      </c>
      <c r="H1" s="1" t="inlineStr">
        <is>
          <t>类目</t>
        </is>
      </c>
      <c r="I1" s="1" t="inlineStr">
        <is>
          <t>销售方式</t>
        </is>
      </c>
      <c r="J1" s="1" t="inlineStr">
        <is>
          <t>售价</t>
        </is>
      </c>
      <c r="K1" s="1" t="inlineStr">
        <is>
          <t>销量</t>
        </is>
      </c>
      <c r="L1" s="1" t="inlineStr">
        <is>
          <t>销售额</t>
        </is>
      </c>
      <c r="M1" s="1" t="inlineStr">
        <is>
          <t>销量增长率</t>
        </is>
      </c>
      <c r="N1" s="1" t="inlineStr">
        <is>
          <t>销售额增长率</t>
        </is>
      </c>
      <c r="O1" s="1" t="inlineStr">
        <is>
          <t>毛利率</t>
        </is>
      </c>
      <c r="P1" s="1" t="inlineStr">
        <is>
          <t>展示总数</t>
        </is>
      </c>
      <c r="Q1" s="1" t="inlineStr">
        <is>
          <t>曝光量</t>
        </is>
      </c>
      <c r="R1" s="1" t="inlineStr">
        <is>
          <t>产品卡浏览量</t>
        </is>
      </c>
      <c r="S1" s="1" t="inlineStr">
        <is>
          <t>加购率</t>
        </is>
      </c>
      <c r="T1" s="1" t="inlineStr">
        <is>
          <t>订单转化率</t>
        </is>
      </c>
      <c r="U1" s="1" t="inlineStr">
        <is>
          <t>广告费用份额</t>
        </is>
      </c>
      <c r="V1" s="1" t="inlineStr">
        <is>
          <t>退货取消率</t>
        </is>
      </c>
      <c r="W1" s="1" t="inlineStr">
        <is>
          <t>错失销售额</t>
        </is>
      </c>
      <c r="X1" s="1" t="inlineStr">
        <is>
          <t>变体数</t>
        </is>
      </c>
      <c r="Y1" s="1" t="inlineStr">
        <is>
          <t>评论数</t>
        </is>
      </c>
      <c r="Z1" s="1" t="inlineStr">
        <is>
          <t>评分</t>
        </is>
      </c>
      <c r="AA1" s="1" t="inlineStr">
        <is>
          <t>上架时间</t>
        </is>
      </c>
      <c r="AB1" s="1" t="inlineStr">
        <is>
          <t>重量</t>
        </is>
      </c>
      <c r="AC1" s="1" t="inlineStr">
        <is>
          <t>体积</t>
        </is>
      </c>
      <c r="AD1" s="1" t="inlineStr">
        <is>
          <t>店铺</t>
        </is>
      </c>
      <c r="AE1" s="1" t="inlineStr">
        <is>
          <t>卖家类型</t>
        </is>
      </c>
      <c r="AF1" s="1" t="inlineStr">
        <is>
          <t>配送方式</t>
        </is>
      </c>
      <c r="AG1" s="1" t="inlineStr">
        <is>
          <t>Q&amp;A</t>
        </is>
      </c>
    </row>
    <row r="2" customHeight="true" ht="64.0">
      <c r="A2" s="2" t="n">
        <v>1.0</v>
      </c>
      <c r="B2" s="2" t="inlineStr">
        <is>
          <t>https://ir.ozone.ru/s3/multimedia-1-s/wc300/10633233304.jpg</t>
        </is>
      </c>
      <c r="C2" s="2" t="n">
        <f>IF(ISERROR(IMAGE("https://ir.ozone.ru/s3/multimedia-1-s/wc300/10633233304.jpg")),"请使用新版Excel2024查看图片",IMAGE("https://ir.ozone.ru/s3/multimedia-1-s/wc300/10633233304.jpg"))</f>
        <v>0.0</v>
      </c>
      <c r="D2" s="2" t="inlineStr">
        <is>
          <t>LISM Кресло-шезлонг176x60x33 см</t>
        </is>
      </c>
      <c r="E2" s="2" t="inlineStr">
        <is>
          <t>https://www.ozon.ru/product/4379551710</t>
        </is>
      </c>
      <c r="F2" s="2" t="n">
        <v>4.37955171E9</v>
      </c>
      <c r="G2" s="2" t="inlineStr">
        <is>
          <t>LISM</t>
        </is>
      </c>
      <c r="H2" s="3" t="inlineStr">
        <is>
          <t>折叠式旅游椅
Стул складной туристический</t>
        </is>
      </c>
      <c r="I2" s="3" t="inlineStr">
        <is>
          <t>跨境卖家可售</t>
        </is>
      </c>
      <c r="J2" s="2" t="inlineStr">
        <is>
          <t>5312₽</t>
        </is>
      </c>
      <c r="K2" s="2" t="n">
        <v>780.0</v>
      </c>
      <c r="L2" s="2" t="inlineStr">
        <is>
          <t>4236104₽</t>
        </is>
      </c>
      <c r="M2" s="2" t="inlineStr">
        <is>
          <t>100%</t>
        </is>
      </c>
      <c r="N2" s="2" t="inlineStr">
        <is>
          <t>100%</t>
        </is>
      </c>
      <c r="O2" s="2" t="inlineStr">
        <is>
          <t>48%</t>
        </is>
      </c>
      <c r="P2" s="2" t="n">
        <v>197051.0</v>
      </c>
      <c r="Q2" s="2" t="n">
        <v>61546.0</v>
      </c>
      <c r="R2" s="2" t="n">
        <v>46535.0</v>
      </c>
      <c r="S2" s="2" t="inlineStr">
        <is>
          <t>10.39%</t>
        </is>
      </c>
      <c r="T2" s="2" t="inlineStr">
        <is>
          <t>16.1%</t>
        </is>
      </c>
      <c r="U2" s="2" t="inlineStr">
        <is>
          <t>3.13%</t>
        </is>
      </c>
      <c r="V2" s="2"/>
      <c r="W2" s="2" t="inlineStr">
        <is>
          <t>0₽</t>
        </is>
      </c>
      <c r="X2" s="2" t="n">
        <v>5.0</v>
      </c>
      <c r="Y2" s="2" t="n">
        <v>242.0</v>
      </c>
      <c r="Z2" s="2" t="inlineStr">
        <is>
          <t>4.8</t>
        </is>
      </c>
      <c r="AA2" s="3" t="inlineStr">
        <is>
          <t>2026-05-20
&lt; 1 个月</t>
        </is>
      </c>
      <c r="AB2" s="2" t="inlineStr">
        <is>
          <t>12925 g</t>
        </is>
      </c>
      <c r="AC2" s="2" t="inlineStr">
        <is>
          <t>186 L</t>
        </is>
      </c>
      <c r="AD2" s="2" t="inlineStr">
        <is>
          <t>chengli003</t>
        </is>
      </c>
      <c r="AE2" s="2" t="inlineStr">
        <is>
          <t>跨境卖家</t>
        </is>
      </c>
      <c r="AF2" s="2" t="inlineStr">
        <is>
          <t>RFBS</t>
        </is>
      </c>
      <c r="AG2" s="2" t="n">
        <v>65.0</v>
      </c>
    </row>
    <row r="3" customHeight="true" ht="64.0">
      <c r="A3" s="2" t="n">
        <v>2.0</v>
      </c>
      <c r="B3" s="2" t="inlineStr">
        <is>
          <t>https://ir.ozone.ru/s3/multimedia-1-a/wc300/10820603530.jpg</t>
        </is>
      </c>
      <c r="C3" s="2" t="n">
        <f>IF(ISERROR(IMAGE("https://ir.ozone.ru/s3/multimedia-1-a/wc300/10820603530.jpg")),"请使用新版Excel2024查看图片",IMAGE("https://ir.ozone.ru/s3/multimedia-1-a/wc300/10820603530.jpg"))</f>
        <v>0.0</v>
      </c>
      <c r="D3" s="2" t="inlineStr">
        <is>
          <t>LISM Кресло-шезлонг176x60x33 см</t>
        </is>
      </c>
      <c r="E3" s="2" t="inlineStr">
        <is>
          <t>https://www.ozon.ru/product/4450384572</t>
        </is>
      </c>
      <c r="F3" s="2" t="n">
        <v>4.450384572E9</v>
      </c>
      <c r="G3" s="2" t="inlineStr">
        <is>
          <t>LISM</t>
        </is>
      </c>
      <c r="H3" s="3" t="inlineStr">
        <is>
          <t>折叠式旅游椅
Стул складной туристический</t>
        </is>
      </c>
      <c r="I3" s="3" t="inlineStr">
        <is>
          <t>跨境卖家可售</t>
        </is>
      </c>
      <c r="J3" s="2" t="inlineStr">
        <is>
          <t>5161₽</t>
        </is>
      </c>
      <c r="K3" s="2" t="n">
        <v>333.0</v>
      </c>
      <c r="L3" s="2" t="inlineStr">
        <is>
          <t>1782642₽</t>
        </is>
      </c>
      <c r="M3" s="2" t="inlineStr">
        <is>
          <t>100%</t>
        </is>
      </c>
      <c r="N3" s="2" t="inlineStr">
        <is>
          <t>100%</t>
        </is>
      </c>
      <c r="O3" s="2" t="inlineStr">
        <is>
          <t>48%</t>
        </is>
      </c>
      <c r="P3" s="2" t="n">
        <v>73374.0</v>
      </c>
      <c r="Q3" s="2" t="n">
        <v>21788.0</v>
      </c>
      <c r="R3" s="2" t="n">
        <v>21740.0</v>
      </c>
      <c r="S3" s="2" t="inlineStr">
        <is>
          <t>9.18%</t>
        </is>
      </c>
      <c r="T3" s="2" t="inlineStr">
        <is>
          <t>16.7%</t>
        </is>
      </c>
      <c r="U3" s="2" t="inlineStr">
        <is>
          <t>0.26%</t>
        </is>
      </c>
      <c r="V3" s="2"/>
      <c r="W3" s="2" t="inlineStr">
        <is>
          <t>0₽</t>
        </is>
      </c>
      <c r="X3" s="2" t="n">
        <v>1.0</v>
      </c>
      <c r="Y3" s="2" t="n">
        <v>1985.0</v>
      </c>
      <c r="Z3" s="2" t="inlineStr">
        <is>
          <t>4.8</t>
        </is>
      </c>
      <c r="AA3" s="3" t="inlineStr">
        <is>
          <t>2026-05-26
&lt; 1 个月</t>
        </is>
      </c>
      <c r="AB3" s="2" t="inlineStr">
        <is>
          <t>12899 g</t>
        </is>
      </c>
      <c r="AC3" s="2" t="inlineStr">
        <is>
          <t>169.759 L</t>
        </is>
      </c>
      <c r="AD3" s="2" t="inlineStr">
        <is>
          <t>piena005</t>
        </is>
      </c>
      <c r="AE3" s="2" t="inlineStr">
        <is>
          <t>跨境卖家</t>
        </is>
      </c>
      <c r="AF3" s="2" t="inlineStr">
        <is>
          <t>RFBS</t>
        </is>
      </c>
      <c r="AG3" s="2" t="n">
        <v>0.0</v>
      </c>
    </row>
    <row r="4" customHeight="true" ht="64.0">
      <c r="A4" s="2" t="n">
        <v>3.0</v>
      </c>
      <c r="B4" s="2" t="inlineStr">
        <is>
          <t>https://ir.ozone.ru/s3/multimedia-1-9/wc300/11269241577.jpg</t>
        </is>
      </c>
      <c r="C4" s="2" t="n">
        <f>IF(ISERROR(IMAGE("https://ir.ozone.ru/s3/multimedia-1-9/wc300/11269241577.jpg")),"请使用新版Excel2024查看图片",IMAGE("https://ir.ozone.ru/s3/multimedia-1-9/wc300/11269241577.jpg"))</f>
        <v>0.0</v>
      </c>
      <c r="D4" s="2" t="inlineStr">
        <is>
          <t>LISM Кресло-шезлонг176x60x33 см</t>
        </is>
      </c>
      <c r="E4" s="2" t="inlineStr">
        <is>
          <t>https://www.ozon.ru/product/4350165180</t>
        </is>
      </c>
      <c r="F4" s="2" t="n">
        <v>4.35016518E9</v>
      </c>
      <c r="G4" s="2" t="inlineStr">
        <is>
          <t>LISM</t>
        </is>
      </c>
      <c r="H4" s="3" t="inlineStr">
        <is>
          <t>折叠式旅游椅
Стул складной туристический</t>
        </is>
      </c>
      <c r="I4" s="3" t="inlineStr">
        <is>
          <t>跨境卖家可售</t>
        </is>
      </c>
      <c r="J4" s="2" t="inlineStr">
        <is>
          <t>5252₽</t>
        </is>
      </c>
      <c r="K4" s="2" t="n">
        <v>319.0</v>
      </c>
      <c r="L4" s="2" t="inlineStr">
        <is>
          <t>1735082₽</t>
        </is>
      </c>
      <c r="M4" s="2" t="inlineStr">
        <is>
          <t>100%</t>
        </is>
      </c>
      <c r="N4" s="2" t="inlineStr">
        <is>
          <t>100%</t>
        </is>
      </c>
      <c r="O4" s="2" t="inlineStr">
        <is>
          <t>48%</t>
        </is>
      </c>
      <c r="P4" s="2" t="n">
        <v>120072.0</v>
      </c>
      <c r="Q4" s="2" t="n">
        <v>38401.0</v>
      </c>
      <c r="R4" s="2" t="n">
        <v>27738.0</v>
      </c>
      <c r="S4" s="2" t="inlineStr">
        <is>
          <t>7.46%</t>
        </is>
      </c>
      <c r="T4" s="2" t="inlineStr">
        <is>
          <t>15.4%</t>
        </is>
      </c>
      <c r="U4" s="2" t="inlineStr">
        <is>
          <t>0.54%</t>
        </is>
      </c>
      <c r="V4" s="2"/>
      <c r="W4" s="2" t="inlineStr">
        <is>
          <t>0₽</t>
        </is>
      </c>
      <c r="X4" s="2" t="n">
        <v>3.0</v>
      </c>
      <c r="Y4" s="2" t="n">
        <v>715.0</v>
      </c>
      <c r="Z4" s="2" t="inlineStr">
        <is>
          <t>4.7</t>
        </is>
      </c>
      <c r="AA4" s="3" t="inlineStr">
        <is>
          <t>2026-05-18
&lt; 1 个月</t>
        </is>
      </c>
      <c r="AB4" s="2" t="inlineStr">
        <is>
          <t>12925 g</t>
        </is>
      </c>
      <c r="AC4" s="2" t="inlineStr">
        <is>
          <t>186 L</t>
        </is>
      </c>
      <c r="AD4" s="2" t="inlineStr">
        <is>
          <t>Liantao001</t>
        </is>
      </c>
      <c r="AE4" s="2" t="inlineStr">
        <is>
          <t>跨境卖家</t>
        </is>
      </c>
      <c r="AF4" s="2" t="inlineStr">
        <is>
          <t>RFBS</t>
        </is>
      </c>
      <c r="AG4" s="2" t="n">
        <v>83.0</v>
      </c>
    </row>
    <row r="5" customHeight="true" ht="64.0">
      <c r="A5" s="2" t="n">
        <v>4.0</v>
      </c>
      <c r="B5" s="2" t="inlineStr">
        <is>
          <t>https://ir.ozone.ru/s3/multimedia-1-6/wc300/10655556522.jpg</t>
        </is>
      </c>
      <c r="C5" s="2" t="n">
        <f>IF(ISERROR(IMAGE("https://ir.ozone.ru/s3/multimedia-1-6/wc300/10655556522.jpg")),"请使用新版Excel2024查看图片",IMAGE("https://ir.ozone.ru/s3/multimedia-1-6/wc300/10655556522.jpg"))</f>
        <v>0.0</v>
      </c>
      <c r="D5" s="2" t="inlineStr">
        <is>
          <t>Двигатель для садовой техники</t>
        </is>
      </c>
      <c r="E5" s="2" t="inlineStr">
        <is>
          <t>https://www.ozon.ru/product/4387427603</t>
        </is>
      </c>
      <c r="F5" s="2" t="n">
        <v>4.387427603E9</v>
      </c>
      <c r="G5" s="2" t="inlineStr">
        <is>
          <t/>
        </is>
      </c>
      <c r="H5" s="3" t="inlineStr">
        <is>
          <t>园林机械发动机
Двигатель для садовой техники</t>
        </is>
      </c>
      <c r="I5" s="3" t="inlineStr">
        <is>
          <t>跨境卖家可售</t>
        </is>
      </c>
      <c r="J5" s="2" t="inlineStr">
        <is>
          <t>5293₽</t>
        </is>
      </c>
      <c r="K5" s="2" t="n">
        <v>325.0</v>
      </c>
      <c r="L5" s="2" t="inlineStr">
        <is>
          <t>1726977₽</t>
        </is>
      </c>
      <c r="M5" s="2" t="inlineStr">
        <is>
          <t>100%</t>
        </is>
      </c>
      <c r="N5" s="2" t="inlineStr">
        <is>
          <t>100%</t>
        </is>
      </c>
      <c r="O5" s="2" t="inlineStr">
        <is>
          <t>47%</t>
        </is>
      </c>
      <c r="P5" s="2" t="n">
        <v>190917.0</v>
      </c>
      <c r="Q5" s="2" t="n">
        <v>36327.0</v>
      </c>
      <c r="R5" s="2" t="n">
        <v>33008.0</v>
      </c>
      <c r="S5" s="2" t="inlineStr">
        <is>
          <t>7.24%</t>
        </is>
      </c>
      <c r="T5" s="2" t="inlineStr">
        <is>
          <t>13.6%</t>
        </is>
      </c>
      <c r="U5" s="2" t="inlineStr">
        <is>
          <t>0.92%</t>
        </is>
      </c>
      <c r="V5" s="2"/>
      <c r="W5" s="2" t="inlineStr">
        <is>
          <t>0₽</t>
        </is>
      </c>
      <c r="X5" s="2" t="n">
        <v>3.0</v>
      </c>
      <c r="Y5" s="2" t="n">
        <v>207.0</v>
      </c>
      <c r="Z5" s="2" t="inlineStr">
        <is>
          <t>4.9</t>
        </is>
      </c>
      <c r="AA5" s="3" t="inlineStr">
        <is>
          <t>2026-05-21
&lt; 1 个月</t>
        </is>
      </c>
      <c r="AB5" s="2" t="inlineStr">
        <is>
          <t>4300 g</t>
        </is>
      </c>
      <c r="AC5" s="2" t="inlineStr">
        <is>
          <t>27.456 L</t>
        </is>
      </c>
      <c r="AD5" s="2" t="inlineStr">
        <is>
          <t>три коалы</t>
        </is>
      </c>
      <c r="AE5" s="2" t="inlineStr">
        <is>
          <t>跨境卖家</t>
        </is>
      </c>
      <c r="AF5" s="2" t="inlineStr">
        <is>
          <t>RFBS</t>
        </is>
      </c>
      <c r="AG5" s="2" t="n">
        <v>217.0</v>
      </c>
    </row>
    <row r="6" customHeight="true" ht="64.0">
      <c r="A6" s="2" t="n">
        <v>5.0</v>
      </c>
      <c r="B6" s="2" t="inlineStr">
        <is>
          <t>https://ir.ozone.ru/s3/multimedia-1-s/wc300/10684639828.jpg</t>
        </is>
      </c>
      <c r="C6" s="2" t="n">
        <f>IF(ISERROR(IMAGE("https://ir.ozone.ru/s3/multimedia-1-s/wc300/10684639828.jpg")),"请使用新版Excel2024查看图片",IMAGE("https://ir.ozone.ru/s3/multimedia-1-s/wc300/10684639828.jpg"))</f>
        <v>0.0</v>
      </c>
      <c r="D6" s="2" t="inlineStr">
        <is>
          <t>Sony Смартфон Sony Xperia1 VIII 12+512GB Graphite Black Global 12/512 ГБ, Nano-SIM, черный матовый</t>
        </is>
      </c>
      <c r="E6" s="2" t="inlineStr">
        <is>
          <t>https://www.ozon.ru/product/4374716544</t>
        </is>
      </c>
      <c r="F6" s="2" t="n">
        <v>4.374716544E9</v>
      </c>
      <c r="G6" s="2" t="inlineStr">
        <is>
          <t>Sony</t>
        </is>
      </c>
      <c r="H6" s="3" t="inlineStr">
        <is>
          <t>智能手机
Смартфон</t>
        </is>
      </c>
      <c r="I6" s="3" t="inlineStr">
        <is>
          <t>跨境卖家可售</t>
        </is>
      </c>
      <c r="J6" s="2" t="inlineStr">
        <is>
          <t>108676₽</t>
        </is>
      </c>
      <c r="K6" s="2" t="n">
        <v>15.0</v>
      </c>
      <c r="L6" s="2" t="inlineStr">
        <is>
          <t>1611801₽</t>
        </is>
      </c>
      <c r="M6" s="2" t="inlineStr">
        <is>
          <t>100%</t>
        </is>
      </c>
      <c r="N6" s="2" t="inlineStr">
        <is>
          <t>100%</t>
        </is>
      </c>
      <c r="O6" s="2" t="inlineStr">
        <is>
          <t>57.3%</t>
        </is>
      </c>
      <c r="P6" s="2" t="n">
        <v>12441.0</v>
      </c>
      <c r="Q6" s="2" t="n">
        <v>930.0</v>
      </c>
      <c r="R6" s="2" t="n">
        <v>4709.0</v>
      </c>
      <c r="S6" s="2" t="inlineStr">
        <is>
          <t>3.54%</t>
        </is>
      </c>
      <c r="T6" s="2" t="inlineStr">
        <is>
          <t>9.0%</t>
        </is>
      </c>
      <c r="U6" s="2" t="inlineStr">
        <is>
          <t>0.0%</t>
        </is>
      </c>
      <c r="V6" s="2"/>
      <c r="W6" s="2" t="inlineStr">
        <is>
          <t>0₽</t>
        </is>
      </c>
      <c r="X6" s="2" t="n">
        <v>8.0</v>
      </c>
      <c r="Y6" s="2" t="n">
        <v>7.0</v>
      </c>
      <c r="Z6" s="2" t="inlineStr">
        <is>
          <t>5.0</t>
        </is>
      </c>
      <c r="AA6" s="3" t="inlineStr">
        <is>
          <t>2026-05-20
&lt; 1 个月</t>
        </is>
      </c>
      <c r="AB6" s="2" t="inlineStr">
        <is>
          <t>280 g</t>
        </is>
      </c>
      <c r="AC6" s="2" t="inlineStr">
        <is>
          <t>0.122 L</t>
        </is>
      </c>
      <c r="AD6" s="2" t="inlineStr">
        <is>
          <t>MOS Premium Store</t>
        </is>
      </c>
      <c r="AE6" s="2" t="inlineStr">
        <is>
          <t>跨境卖家</t>
        </is>
      </c>
      <c r="AF6" s="2" t="inlineStr">
        <is>
          <t>RFBS</t>
        </is>
      </c>
      <c r="AG6" s="2" t="n">
        <v>24.0</v>
      </c>
    </row>
    <row r="7" customHeight="true" ht="64.0">
      <c r="A7" s="2" t="n">
        <v>6.0</v>
      </c>
      <c r="B7" s="2" t="inlineStr">
        <is>
          <t>https://ir.ozone.ru/s3/multimedia-1-a/wc300/10615680262.jpg</t>
        </is>
      </c>
      <c r="C7" s="2" t="n">
        <f>IF(ISERROR(IMAGE("https://ir.ozone.ru/s3/multimedia-1-a/wc300/10615680262.jpg")),"请使用新版Excel2024查看图片",IMAGE("https://ir.ozone.ru/s3/multimedia-1-a/wc300/10615680262.jpg"))</f>
        <v>0.0</v>
      </c>
      <c r="D7" s="2" t="inlineStr">
        <is>
          <t>Смартфон vivo X300Ultra  16/, Черный</t>
        </is>
      </c>
      <c r="E7" s="2" t="inlineStr">
        <is>
          <t>https://www.ozon.ru/product/4367935555</t>
        </is>
      </c>
      <c r="F7" s="2" t="n">
        <v>4.367935555E9</v>
      </c>
      <c r="G7" s="2" t="inlineStr">
        <is>
          <t/>
        </is>
      </c>
      <c r="H7" s="3" t="inlineStr">
        <is>
          <t>智能手机
Смартфон</t>
        </is>
      </c>
      <c r="I7" s="3" t="inlineStr">
        <is>
          <t>跨境卖家可售</t>
        </is>
      </c>
      <c r="J7" s="2" t="inlineStr">
        <is>
          <t>69134₽</t>
        </is>
      </c>
      <c r="K7" s="2" t="n">
        <v>20.0</v>
      </c>
      <c r="L7" s="2" t="inlineStr">
        <is>
          <t>1382680₽</t>
        </is>
      </c>
      <c r="M7" s="2" t="inlineStr">
        <is>
          <t>100%</t>
        </is>
      </c>
      <c r="N7" s="2" t="inlineStr">
        <is>
          <t>100%</t>
        </is>
      </c>
      <c r="O7" s="2" t="inlineStr">
        <is>
          <t/>
        </is>
      </c>
      <c r="P7" s="2" t="n">
        <v>19786.0</v>
      </c>
      <c r="Q7" s="2" t="n">
        <v>1799.0</v>
      </c>
      <c r="R7" s="2" t="n">
        <v>3315.0</v>
      </c>
      <c r="S7" s="2" t="inlineStr">
        <is>
          <t>4.79%</t>
        </is>
      </c>
      <c r="T7" s="2" t="inlineStr">
        <is>
          <t>12.6%</t>
        </is>
      </c>
      <c r="U7" s="2" t="inlineStr">
        <is>
          <t>0.08%</t>
        </is>
      </c>
      <c r="V7" s="2"/>
      <c r="W7" s="2" t="inlineStr">
        <is>
          <t>0₽</t>
        </is>
      </c>
      <c r="X7" s="2" t="n">
        <v>1.0</v>
      </c>
      <c r="Y7" s="2"/>
      <c r="Z7" s="2"/>
      <c r="AA7" s="3" t="inlineStr">
        <is>
          <t>2026-05-19
&lt; 1 个月</t>
        </is>
      </c>
      <c r="AB7" s="2" t="inlineStr">
        <is>
          <t/>
        </is>
      </c>
      <c r="AC7" s="2" t="inlineStr">
        <is>
          <t/>
        </is>
      </c>
      <c r="AD7" s="2" t="inlineStr">
        <is>
          <t>Vivo Global Official Store</t>
        </is>
      </c>
      <c r="AE7" s="2" t="inlineStr">
        <is>
          <t>跨境卖家</t>
        </is>
      </c>
      <c r="AF7" s="2" t="inlineStr">
        <is>
          <t>RFBS</t>
        </is>
      </c>
      <c r="AG7" s="2" t="n">
        <v>0.0</v>
      </c>
    </row>
    <row r="8" customHeight="true" ht="64.0">
      <c r="A8" s="2" t="n">
        <v>7.0</v>
      </c>
      <c r="B8" s="2" t="inlineStr">
        <is>
          <t>https://ir.ozone.ru/s3/multimedia-1-m/wc300/10943855662.jpg</t>
        </is>
      </c>
      <c r="C8" s="2" t="n">
        <f>IF(ISERROR(IMAGE("https://ir.ozone.ru/s3/multimedia-1-m/wc300/10943855662.jpg")),"请使用新版Excel2024查看图片",IMAGE("https://ir.ozone.ru/s3/multimedia-1-m/wc300/10943855662.jpg"))</f>
        <v>0.0</v>
      </c>
      <c r="D8" s="2" t="inlineStr">
        <is>
          <t>Гобо-проектор 2026Vidda C5 Ultra 4K трехцветный лазерный проектор 4400 CVIA MT9681 MCL3A  4+64 ГБ 0,9-1,5:1 оптический зум видео 3D Android Cinema про</t>
        </is>
      </c>
      <c r="E8" s="2" t="inlineStr">
        <is>
          <t>https://www.ozon.ru/product/4500784238</t>
        </is>
      </c>
      <c r="F8" s="2" t="n">
        <v>4.500784238E9</v>
      </c>
      <c r="G8" s="2" t="inlineStr">
        <is>
          <t/>
        </is>
      </c>
      <c r="H8" s="3" t="inlineStr">
        <is>
          <t>图案投影仪
Гобо-проектор</t>
        </is>
      </c>
      <c r="I8" s="3" t="inlineStr">
        <is>
          <t>跨境卖家可售</t>
        </is>
      </c>
      <c r="J8" s="2" t="inlineStr">
        <is>
          <t>84753₽</t>
        </is>
      </c>
      <c r="K8" s="2" t="n">
        <v>16.0</v>
      </c>
      <c r="L8" s="2" t="inlineStr">
        <is>
          <t>1356048₽</t>
        </is>
      </c>
      <c r="M8" s="2" t="inlineStr">
        <is>
          <t>100%</t>
        </is>
      </c>
      <c r="N8" s="2" t="inlineStr">
        <is>
          <t>100%</t>
        </is>
      </c>
      <c r="O8" s="2" t="inlineStr">
        <is>
          <t>52.8%</t>
        </is>
      </c>
      <c r="P8" s="2" t="n">
        <v>2390.0</v>
      </c>
      <c r="Q8" s="2" t="n">
        <v>194.0</v>
      </c>
      <c r="R8" s="2" t="n">
        <v>834.0</v>
      </c>
      <c r="S8" s="2" t="inlineStr">
        <is>
          <t>3.11%</t>
        </is>
      </c>
      <c r="T8" s="2" t="inlineStr">
        <is>
          <t>61.5%</t>
        </is>
      </c>
      <c r="U8" s="2" t="inlineStr">
        <is>
          <t>0.0%</t>
        </is>
      </c>
      <c r="V8" s="2"/>
      <c r="W8" s="2" t="inlineStr">
        <is>
          <t>0₽</t>
        </is>
      </c>
      <c r="X8" s="2" t="n">
        <v>1.0</v>
      </c>
      <c r="Y8" s="2"/>
      <c r="Z8" s="2"/>
      <c r="AA8" s="3" t="inlineStr">
        <is>
          <t>2026-05-30
&lt; 1 个月</t>
        </is>
      </c>
      <c r="AB8" s="2" t="inlineStr">
        <is>
          <t>9000 g</t>
        </is>
      </c>
      <c r="AC8" s="2" t="inlineStr">
        <is>
          <t>3.375 L</t>
        </is>
      </c>
      <c r="AD8" s="2" t="inlineStr">
        <is>
          <t>Техэлектро</t>
        </is>
      </c>
      <c r="AE8" s="2" t="inlineStr">
        <is>
          <t>跨境卖家</t>
        </is>
      </c>
      <c r="AF8" s="2" t="inlineStr">
        <is>
          <t>RFBS</t>
        </is>
      </c>
      <c r="AG8" s="2" t="n">
        <v>0.0</v>
      </c>
    </row>
    <row r="9" customHeight="true" ht="64.0">
      <c r="A9" s="2" t="n">
        <v>8.0</v>
      </c>
      <c r="B9" s="2" t="inlineStr">
        <is>
          <t>https://ir.ozone.ru/s3/multimedia-1-j/wc300/10564325839.jpg</t>
        </is>
      </c>
      <c r="C9" s="2" t="n">
        <f>IF(ISERROR(IMAGE("https://ir.ozone.ru/s3/multimedia-1-j/wc300/10564325839.jpg")),"请使用新版Excel2024查看图片",IMAGE("https://ir.ozone.ru/s3/multimedia-1-j/wc300/10564325839.jpg"))</f>
        <v>0.0</v>
      </c>
      <c r="D9" s="2" t="inlineStr">
        <is>
          <t>Конструктор LEGO Icons 11377 Властелин колец: Минас Тирит</t>
        </is>
      </c>
      <c r="E9" s="2" t="inlineStr">
        <is>
          <t>https://www.ozon.ru/product/4337934130</t>
        </is>
      </c>
      <c r="F9" s="2" t="n">
        <v>4.33793413E9</v>
      </c>
      <c r="G9" s="2" t="inlineStr">
        <is>
          <t>LEGO</t>
        </is>
      </c>
      <c r="H9" s="3" t="inlineStr">
        <is>
          <t>积木
Конструктор</t>
        </is>
      </c>
      <c r="I9" s="3" t="inlineStr">
        <is>
          <t>跨境卖家可售</t>
        </is>
      </c>
      <c r="J9" s="2" t="inlineStr">
        <is>
          <t>82169₽</t>
        </is>
      </c>
      <c r="K9" s="2" t="n">
        <v>16.0</v>
      </c>
      <c r="L9" s="2" t="inlineStr">
        <is>
          <t>1341077₽</t>
        </is>
      </c>
      <c r="M9" s="2" t="inlineStr">
        <is>
          <t>100%</t>
        </is>
      </c>
      <c r="N9" s="2" t="inlineStr">
        <is>
          <t>100%</t>
        </is>
      </c>
      <c r="O9" s="2" t="inlineStr">
        <is>
          <t>51.3%</t>
        </is>
      </c>
      <c r="P9" s="2" t="n">
        <v>29242.0</v>
      </c>
      <c r="Q9" s="2" t="n">
        <v>4780.0</v>
      </c>
      <c r="R9" s="2" t="n">
        <v>6422.0</v>
      </c>
      <c r="S9" s="2" t="inlineStr">
        <is>
          <t>3.12%</t>
        </is>
      </c>
      <c r="T9" s="2" t="inlineStr">
        <is>
          <t>8.0%</t>
        </is>
      </c>
      <c r="U9" s="2" t="inlineStr">
        <is>
          <t>0.0%</t>
        </is>
      </c>
      <c r="V9" s="2"/>
      <c r="W9" s="2" t="inlineStr">
        <is>
          <t>0₽</t>
        </is>
      </c>
      <c r="X9" s="2" t="n">
        <v>1.0</v>
      </c>
      <c r="Y9" s="2" t="n">
        <v>1756.0</v>
      </c>
      <c r="Z9" s="2" t="inlineStr">
        <is>
          <t>5.0</t>
        </is>
      </c>
      <c r="AA9" s="3" t="inlineStr">
        <is>
          <t>2026-05-17
&lt; 1 个月</t>
        </is>
      </c>
      <c r="AB9" s="2" t="inlineStr">
        <is>
          <t>18000 g</t>
        </is>
      </c>
      <c r="AC9" s="2" t="inlineStr">
        <is>
          <t>69.193 L</t>
        </is>
      </c>
      <c r="AD9" s="2" t="inlineStr">
        <is>
          <t>LeYi Toys</t>
        </is>
      </c>
      <c r="AE9" s="2" t="inlineStr">
        <is>
          <t>跨境卖家</t>
        </is>
      </c>
      <c r="AF9" s="2" t="inlineStr">
        <is>
          <t>RFBS</t>
        </is>
      </c>
      <c r="AG9" s="2" t="n">
        <v>0.0</v>
      </c>
    </row>
    <row r="10" customHeight="true" ht="64.0">
      <c r="A10" s="2" t="n">
        <v>9.0</v>
      </c>
      <c r="B10" s="2" t="inlineStr">
        <is>
          <t>https://ir.ozone.ru/s3/multimedia-1-l/wc300/10526686257.jpg</t>
        </is>
      </c>
      <c r="C10" s="2" t="n">
        <f>IF(ISERROR(IMAGE("https://ir.ozone.ru/s3/multimedia-1-l/wc300/10526686257.jpg")),"请使用新版Excel2024查看图片",IMAGE("https://ir.ozone.ru/s3/multimedia-1-l/wc300/10526686257.jpg"))</f>
        <v>0.0</v>
      </c>
      <c r="D10" s="2" t="inlineStr">
        <is>
          <t>MECHREVO JIAOLONG16Pro(R9 9955HX  RTX 5070 Ti) Игровой ноутбук 16", AMD Ryzen 9 9955HX, RAM 32 ГБ, SSD 1024 ГБ, NVIDIA GeForce RTX 5070 Ti для ноутбуков (12 Гб), Windows Home, (Русские наклейки +мышь+Коврик для мыши), белый, Английская раскладка</t>
        </is>
      </c>
      <c r="E10" s="2" t="inlineStr">
        <is>
          <t>https://www.ozon.ru/product/4319816376</t>
        </is>
      </c>
      <c r="F10" s="2" t="n">
        <v>4.319816376E9</v>
      </c>
      <c r="G10" s="2" t="inlineStr">
        <is>
          <t>MECHREVO</t>
        </is>
      </c>
      <c r="H10" s="3" t="inlineStr">
        <is>
          <t>游戏笔记本电脑
Игровой ноутбук</t>
        </is>
      </c>
      <c r="I10" s="3" t="inlineStr">
        <is>
          <t>跨境卖家可售</t>
        </is>
      </c>
      <c r="J10" s="2" t="inlineStr">
        <is>
          <t>141068₽</t>
        </is>
      </c>
      <c r="K10" s="2" t="n">
        <v>9.0</v>
      </c>
      <c r="L10" s="2" t="inlineStr">
        <is>
          <t>1256350₽</t>
        </is>
      </c>
      <c r="M10" s="2" t="inlineStr">
        <is>
          <t>100%</t>
        </is>
      </c>
      <c r="N10" s="2" t="inlineStr">
        <is>
          <t>100%</t>
        </is>
      </c>
      <c r="O10" s="2" t="inlineStr">
        <is>
          <t>60.9%</t>
        </is>
      </c>
      <c r="P10" s="2" t="n">
        <v>26578.0</v>
      </c>
      <c r="Q10" s="2" t="n">
        <v>10342.0</v>
      </c>
      <c r="R10" s="2" t="n">
        <v>3329.0</v>
      </c>
      <c r="S10" s="2" t="inlineStr">
        <is>
          <t>5.13%</t>
        </is>
      </c>
      <c r="T10" s="2" t="inlineStr">
        <is>
          <t>5.3%</t>
        </is>
      </c>
      <c r="U10" s="2" t="inlineStr">
        <is>
          <t>0.51%</t>
        </is>
      </c>
      <c r="V10" s="2"/>
      <c r="W10" s="2" t="inlineStr">
        <is>
          <t>0₽</t>
        </is>
      </c>
      <c r="X10" s="2" t="n">
        <v>4.0</v>
      </c>
      <c r="Y10" s="2" t="n">
        <v>13.0</v>
      </c>
      <c r="Z10" s="2" t="inlineStr">
        <is>
          <t>4.9</t>
        </is>
      </c>
      <c r="AA10" s="3" t="inlineStr">
        <is>
          <t>2026-05-15
1 个月</t>
        </is>
      </c>
      <c r="AB10" s="2" t="inlineStr">
        <is>
          <t>4500 g</t>
        </is>
      </c>
      <c r="AC10" s="2" t="inlineStr">
        <is>
          <t>75 L</t>
        </is>
      </c>
      <c r="AD10" s="2" t="inlineStr">
        <is>
          <t>H-B</t>
        </is>
      </c>
      <c r="AE10" s="2" t="inlineStr">
        <is>
          <t>跨境卖家</t>
        </is>
      </c>
      <c r="AF10" s="2" t="inlineStr">
        <is>
          <t>RFBS</t>
        </is>
      </c>
      <c r="AG10" s="2" t="n">
        <v>70.0</v>
      </c>
    </row>
    <row r="11" customHeight="true" ht="64.0">
      <c r="A11" s="2" t="n">
        <v>10.0</v>
      </c>
      <c r="B11" s="2" t="inlineStr">
        <is>
          <t>https://ir.ozone.ru/s3/multimedia-1-e/wc300/10600662686.jpg</t>
        </is>
      </c>
      <c r="C11" s="2" t="n">
        <f>IF(ISERROR(IMAGE("https://ir.ozone.ru/s3/multimedia-1-e/wc300/10600662686.jpg")),"请使用新版Excel2024查看图片",IMAGE("https://ir.ozone.ru/s3/multimedia-1-e/wc300/10600662686.jpg"))</f>
        <v>0.0</v>
      </c>
      <c r="D11" s="2" t="inlineStr">
        <is>
          <t>OPPO Смартфон FIND X9 ULTRA Global 16/1 ТБ, Nano-SIM, eSIM, черный</t>
        </is>
      </c>
      <c r="E11" s="2" t="inlineStr">
        <is>
          <t>https://www.ozon.ru/product/4368215000</t>
        </is>
      </c>
      <c r="F11" s="2" t="n">
        <v>4.368215E9</v>
      </c>
      <c r="G11" s="2" t="inlineStr">
        <is>
          <t>OPPO</t>
        </is>
      </c>
      <c r="H11" s="3" t="inlineStr">
        <is>
          <t>智能手机
Смартфон</t>
        </is>
      </c>
      <c r="I11" s="3" t="inlineStr">
        <is>
          <t>跨境卖家可售</t>
        </is>
      </c>
      <c r="J11" s="2" t="inlineStr">
        <is>
          <t>127322₽</t>
        </is>
      </c>
      <c r="K11" s="2" t="n">
        <v>9.0</v>
      </c>
      <c r="L11" s="2" t="inlineStr">
        <is>
          <t>1145898₽</t>
        </is>
      </c>
      <c r="M11" s="2" t="inlineStr">
        <is>
          <t>100%</t>
        </is>
      </c>
      <c r="N11" s="2" t="inlineStr">
        <is>
          <t>100%</t>
        </is>
      </c>
      <c r="O11" s="2" t="inlineStr">
        <is>
          <t>57.3%</t>
        </is>
      </c>
      <c r="P11" s="2" t="n">
        <v>17608.0</v>
      </c>
      <c r="Q11" s="2" t="n">
        <v>924.0</v>
      </c>
      <c r="R11" s="2" t="n">
        <v>3948.0</v>
      </c>
      <c r="S11" s="2" t="inlineStr">
        <is>
          <t>4.2%</t>
        </is>
      </c>
      <c r="T11" s="2" t="inlineStr">
        <is>
          <t>5.4%</t>
        </is>
      </c>
      <c r="U11" s="2" t="inlineStr">
        <is>
          <t>0.05%</t>
        </is>
      </c>
      <c r="V11" s="2"/>
      <c r="W11" s="2" t="inlineStr">
        <is>
          <t>0₽</t>
        </is>
      </c>
      <c r="X11" s="2" t="n">
        <v>3.0</v>
      </c>
      <c r="Y11" s="2"/>
      <c r="Z11" s="2"/>
      <c r="AA11" s="3" t="inlineStr">
        <is>
          <t>2026-05-19
&lt; 1 个月</t>
        </is>
      </c>
      <c r="AB11" s="2" t="inlineStr">
        <is>
          <t>600 g</t>
        </is>
      </c>
      <c r="AC11" s="2" t="inlineStr">
        <is>
          <t>2 L</t>
        </is>
      </c>
      <c r="AD11" s="2" t="inlineStr">
        <is>
          <t>QQQ SHOP</t>
        </is>
      </c>
      <c r="AE11" s="2" t="inlineStr">
        <is>
          <t>跨境卖家</t>
        </is>
      </c>
      <c r="AF11" s="2" t="inlineStr">
        <is>
          <t>RFBS</t>
        </is>
      </c>
      <c r="AG11" s="2" t="n">
        <v>14.0</v>
      </c>
    </row>
    <row r="12" customHeight="true" ht="64.0">
      <c r="A12" s="2" t="n">
        <v>11.0</v>
      </c>
      <c r="B12" s="2" t="inlineStr">
        <is>
          <t>https://ir.ozone.ru/s3/multimedia-1-m/wc300/10679837242.jpg</t>
        </is>
      </c>
      <c r="C12" s="2" t="n">
        <f>IF(ISERROR(IMAGE("https://ir.ozone.ru/s3/multimedia-1-m/wc300/10679837242.jpg")),"请使用新版Excel2024查看图片",IMAGE("https://ir.ozone.ru/s3/multimedia-1-m/wc300/10679837242.jpg"))</f>
        <v>0.0</v>
      </c>
      <c r="D12" s="2" t="inlineStr">
        <is>
          <t>Dreame Газонокосилка-робот самоходный</t>
        </is>
      </c>
      <c r="E12" s="2" t="inlineStr">
        <is>
          <t>https://www.ozon.ru/product/4396600146</t>
        </is>
      </c>
      <c r="F12" s="2" t="n">
        <v>4.396600146E9</v>
      </c>
      <c r="G12" s="2" t="inlineStr">
        <is>
          <t>Dreame</t>
        </is>
      </c>
      <c r="H12" s="3" t="inlineStr">
        <is>
          <t>垂直割草机
Вертикуттер</t>
        </is>
      </c>
      <c r="I12" s="3" t="inlineStr">
        <is>
          <t>跨境卖家可售</t>
        </is>
      </c>
      <c r="J12" s="2" t="inlineStr">
        <is>
          <t>151449₽</t>
        </is>
      </c>
      <c r="K12" s="2" t="n">
        <v>7.0</v>
      </c>
      <c r="L12" s="2" t="inlineStr">
        <is>
          <t>1134973₽</t>
        </is>
      </c>
      <c r="M12" s="2" t="inlineStr">
        <is>
          <t>100%</t>
        </is>
      </c>
      <c r="N12" s="2" t="inlineStr">
        <is>
          <t>100%</t>
        </is>
      </c>
      <c r="O12" s="2" t="inlineStr">
        <is>
          <t>52.9%</t>
        </is>
      </c>
      <c r="P12" s="2" t="n">
        <v>6262.0</v>
      </c>
      <c r="Q12" s="2" t="n">
        <v>1869.0</v>
      </c>
      <c r="R12" s="2" t="n">
        <v>1195.0</v>
      </c>
      <c r="S12" s="2" t="inlineStr">
        <is>
          <t>4.6%</t>
        </is>
      </c>
      <c r="T12" s="2" t="inlineStr">
        <is>
          <t>12.7%</t>
        </is>
      </c>
      <c r="U12" s="2" t="inlineStr">
        <is>
          <t>0.34%</t>
        </is>
      </c>
      <c r="V12" s="2"/>
      <c r="W12" s="2" t="inlineStr">
        <is>
          <t>0₽</t>
        </is>
      </c>
      <c r="X12" s="2" t="n">
        <v>1.0</v>
      </c>
      <c r="Y12" s="2"/>
      <c r="Z12" s="2"/>
      <c r="AA12" s="3" t="inlineStr">
        <is>
          <t>2026-05-22
&lt; 1 个月</t>
        </is>
      </c>
      <c r="AB12" s="2" t="inlineStr">
        <is>
          <t>25000 g</t>
        </is>
      </c>
      <c r="AC12" s="2" t="inlineStr">
        <is>
          <t>214.032 L</t>
        </is>
      </c>
      <c r="AD12" s="2" t="inlineStr">
        <is>
          <t>chenfei</t>
        </is>
      </c>
      <c r="AE12" s="2" t="inlineStr">
        <is>
          <t>跨境卖家</t>
        </is>
      </c>
      <c r="AF12" s="2" t="inlineStr">
        <is>
          <t>RFBS</t>
        </is>
      </c>
      <c r="AG12" s="2" t="n">
        <v>1.0</v>
      </c>
    </row>
    <row r="13" customHeight="true" ht="64.0">
      <c r="A13" s="2" t="n">
        <v>12.0</v>
      </c>
      <c r="B13" s="2" t="inlineStr">
        <is>
          <t>https://ir.ozone.ru/s3/multimedia-1-x/wc300/11040944937.jpg</t>
        </is>
      </c>
      <c r="C13" s="2" t="n">
        <f>IF(ISERROR(IMAGE("https://ir.ozone.ru/s3/multimedia-1-x/wc300/11040944937.jpg")),"请使用新版Excel2024查看图片",IMAGE("https://ir.ozone.ru/s3/multimedia-1-x/wc300/11040944937.jpg"))</f>
        <v>0.0</v>
      </c>
      <c r="D13" s="2" t="inlineStr">
        <is>
          <t>Poco Смартфон POCO F7 ПЕРВЫЙ телефон с Snapdragon® 8s Gen 4, 6500 мАч батарея, 6,83'' Экран 1.5K AMOLED, 50Мп Sony, IP68 Global Global 12/512 ГБ, Nano-SIM, белый</t>
        </is>
      </c>
      <c r="E13" s="2" t="inlineStr">
        <is>
          <t>https://www.ozon.ru/product/4388089306</t>
        </is>
      </c>
      <c r="F13" s="2" t="n">
        <v>4.388089306E9</v>
      </c>
      <c r="G13" s="2" t="inlineStr">
        <is>
          <t>Poco</t>
        </is>
      </c>
      <c r="H13" s="3" t="inlineStr">
        <is>
          <t>智能手机
Смартфон</t>
        </is>
      </c>
      <c r="I13" s="3" t="inlineStr">
        <is>
          <t>跨境卖家可售</t>
        </is>
      </c>
      <c r="J13" s="2" t="inlineStr">
        <is>
          <t>31245₽</t>
        </is>
      </c>
      <c r="K13" s="2" t="n">
        <v>33.0</v>
      </c>
      <c r="L13" s="2" t="inlineStr">
        <is>
          <t>1031085₽</t>
        </is>
      </c>
      <c r="M13" s="2" t="inlineStr">
        <is>
          <t>100%</t>
        </is>
      </c>
      <c r="N13" s="2" t="inlineStr">
        <is>
          <t>100%</t>
        </is>
      </c>
      <c r="O13" s="2" t="inlineStr">
        <is>
          <t/>
        </is>
      </c>
      <c r="P13" s="2" t="n">
        <v>106379.0</v>
      </c>
      <c r="Q13" s="2" t="n">
        <v>31401.0</v>
      </c>
      <c r="R13" s="2" t="n">
        <v>11292.0</v>
      </c>
      <c r="S13" s="2" t="inlineStr">
        <is>
          <t>6.15%</t>
        </is>
      </c>
      <c r="T13" s="2" t="inlineStr">
        <is>
          <t>4.8%</t>
        </is>
      </c>
      <c r="U13" s="2" t="inlineStr">
        <is>
          <t>3.1%</t>
        </is>
      </c>
      <c r="V13" s="2"/>
      <c r="W13" s="2" t="inlineStr">
        <is>
          <t>0₽</t>
        </is>
      </c>
      <c r="X13" s="2" t="n">
        <v>4.0</v>
      </c>
      <c r="Y13" s="2" t="n">
        <v>439.0</v>
      </c>
      <c r="Z13" s="2" t="inlineStr">
        <is>
          <t>4.9</t>
        </is>
      </c>
      <c r="AA13" s="3" t="inlineStr">
        <is>
          <t>2026-05-21
&lt; 1 个月</t>
        </is>
      </c>
      <c r="AB13" s="2" t="inlineStr">
        <is>
          <t/>
        </is>
      </c>
      <c r="AC13" s="2" t="inlineStr">
        <is>
          <t/>
        </is>
      </c>
      <c r="AD13" s="2" t="inlineStr">
        <is>
          <t>MI in Russia</t>
        </is>
      </c>
      <c r="AE13" s="2" t="inlineStr">
        <is>
          <t>跨境卖家</t>
        </is>
      </c>
      <c r="AF13" s="2" t="inlineStr">
        <is>
          <t>RFBS</t>
        </is>
      </c>
      <c r="AG13" s="2" t="n">
        <v>108.0</v>
      </c>
    </row>
    <row r="14" customHeight="true" ht="64.0">
      <c r="A14" s="2" t="n">
        <v>13.0</v>
      </c>
      <c r="B14" s="2" t="inlineStr">
        <is>
          <t>https://ir.ozone.ru/s3/multimedia-1-l/wc300/10599122613.jpg</t>
        </is>
      </c>
      <c r="C14" s="2" t="n">
        <f>IF(ISERROR(IMAGE("https://ir.ozone.ru/s3/multimedia-1-l/wc300/10599122613.jpg")),"请使用新版Excel2024查看图片",IMAGE("https://ir.ozone.ru/s3/multimedia-1-l/wc300/10599122613.jpg"))</f>
        <v>0.0</v>
      </c>
      <c r="D14" s="2" t="inlineStr">
        <is>
          <t>ASUS 26.5" Монитор ASUS ROG STRIX OLED XG27AQWMG 2K/280hz/WOLED 0.03ms игровой монитор, WOLED, 2560x1440 2K, 280 Гц, черный матовый</t>
        </is>
      </c>
      <c r="E14" s="2" t="inlineStr">
        <is>
          <t>https://www.ozon.ru/product/4367677073</t>
        </is>
      </c>
      <c r="F14" s="2" t="n">
        <v>4.367677073E9</v>
      </c>
      <c r="G14" s="2" t="inlineStr">
        <is>
          <t>ASUS</t>
        </is>
      </c>
      <c r="H14" s="3" t="inlineStr">
        <is>
          <t>显示器
Монитор</t>
        </is>
      </c>
      <c r="I14" s="3" t="inlineStr">
        <is>
          <t>跨境卖家可售</t>
        </is>
      </c>
      <c r="J14" s="2" t="inlineStr">
        <is>
          <t>48348₽</t>
        </is>
      </c>
      <c r="K14" s="2" t="n">
        <v>21.0</v>
      </c>
      <c r="L14" s="2" t="inlineStr">
        <is>
          <t>995095₽</t>
        </is>
      </c>
      <c r="M14" s="2" t="inlineStr">
        <is>
          <t>100%</t>
        </is>
      </c>
      <c r="N14" s="2" t="inlineStr">
        <is>
          <t>100%</t>
        </is>
      </c>
      <c r="O14" s="2" t="inlineStr">
        <is>
          <t>48.6%</t>
        </is>
      </c>
      <c r="P14" s="2" t="n">
        <v>35136.0</v>
      </c>
      <c r="Q14" s="2" t="n">
        <v>7646.0</v>
      </c>
      <c r="R14" s="2" t="n">
        <v>3594.0</v>
      </c>
      <c r="S14" s="2" t="inlineStr">
        <is>
          <t>3.5%</t>
        </is>
      </c>
      <c r="T14" s="2" t="inlineStr">
        <is>
          <t>16.7%</t>
        </is>
      </c>
      <c r="U14" s="2" t="inlineStr">
        <is>
          <t>0.58%</t>
        </is>
      </c>
      <c r="V14" s="2"/>
      <c r="W14" s="2" t="inlineStr">
        <is>
          <t>0₽</t>
        </is>
      </c>
      <c r="X14" s="2" t="n">
        <v>10.0</v>
      </c>
      <c r="Y14" s="2" t="n">
        <v>158.0</v>
      </c>
      <c r="Z14" s="2" t="inlineStr">
        <is>
          <t>4.8</t>
        </is>
      </c>
      <c r="AA14" s="3" t="inlineStr">
        <is>
          <t>2026-05-19
&lt; 1 个月</t>
        </is>
      </c>
      <c r="AB14" s="2" t="inlineStr">
        <is>
          <t>9100 g</t>
        </is>
      </c>
      <c r="AC14" s="2" t="inlineStr">
        <is>
          <t>68.188 L</t>
        </is>
      </c>
      <c r="AD14" s="2" t="inlineStr">
        <is>
          <t>Экран Про</t>
        </is>
      </c>
      <c r="AE14" s="2" t="inlineStr">
        <is>
          <t>跨境卖家</t>
        </is>
      </c>
      <c r="AF14" s="2" t="inlineStr">
        <is>
          <t>RFBS</t>
        </is>
      </c>
      <c r="AG14" s="2" t="n">
        <v>123.0</v>
      </c>
    </row>
    <row r="15" customHeight="true" ht="64.0">
      <c r="A15" s="2" t="n">
        <v>14.0</v>
      </c>
      <c r="B15" s="2" t="inlineStr">
        <is>
          <t>https://ir.ozone.ru/s3/multimedia-1-4/wc300/10379478460.jpg</t>
        </is>
      </c>
      <c r="C15" s="2" t="n">
        <f>IF(ISERROR(IMAGE("https://ir.ozone.ru/s3/multimedia-1-4/wc300/10379478460.jpg")),"请使用新版Excel2024查看图片",IMAGE("https://ir.ozone.ru/s3/multimedia-1-4/wc300/10379478460.jpg"))</f>
        <v>0.0</v>
      </c>
      <c r="D15" s="2" t="inlineStr">
        <is>
          <t xml:space="preserve"> Игровой ноутбук MECHREVO 5070ti, AMD Ryzen 9 8940HX, RAM32 ГБ, SSD, Windows Home, белый</t>
        </is>
      </c>
      <c r="E15" s="2" t="inlineStr">
        <is>
          <t>https://www.ozon.ru/product/4463187339</t>
        </is>
      </c>
      <c r="F15" s="2" t="n">
        <v>4.463187339E9</v>
      </c>
      <c r="G15" s="2" t="inlineStr">
        <is>
          <t/>
        </is>
      </c>
      <c r="H15" s="3" t="inlineStr">
        <is>
          <t>游戏笔记本电脑
Игровой ноутбук</t>
        </is>
      </c>
      <c r="I15" s="3" t="inlineStr">
        <is>
          <t>跨境卖家可售</t>
        </is>
      </c>
      <c r="J15" s="2" t="inlineStr">
        <is>
          <t>88500₽</t>
        </is>
      </c>
      <c r="K15" s="2" t="n">
        <v>11.0</v>
      </c>
      <c r="L15" s="2" t="inlineStr">
        <is>
          <t>973500₽</t>
        </is>
      </c>
      <c r="M15" s="2" t="inlineStr">
        <is>
          <t>100%</t>
        </is>
      </c>
      <c r="N15" s="2" t="inlineStr">
        <is>
          <t>100%</t>
        </is>
      </c>
      <c r="O15" s="2" t="inlineStr">
        <is>
          <t>60.8%</t>
        </is>
      </c>
      <c r="P15" s="2" t="n">
        <v>18495.0</v>
      </c>
      <c r="Q15" s="2" t="n">
        <v>5142.0</v>
      </c>
      <c r="R15" s="2" t="n">
        <v>3943.0</v>
      </c>
      <c r="S15" s="2" t="inlineStr">
        <is>
          <t>5.85%</t>
        </is>
      </c>
      <c r="T15" s="2" t="inlineStr">
        <is>
          <t>4.8%</t>
        </is>
      </c>
      <c r="U15" s="2" t="inlineStr">
        <is>
          <t>0.41%</t>
        </is>
      </c>
      <c r="V15" s="2"/>
      <c r="W15" s="2" t="inlineStr">
        <is>
          <t>0₽</t>
        </is>
      </c>
      <c r="X15" s="2" t="n">
        <v>1.0</v>
      </c>
      <c r="Y15" s="2"/>
      <c r="Z15" s="2"/>
      <c r="AA15" s="3" t="inlineStr">
        <is>
          <t>2026-05-27
&lt; 1 个月</t>
        </is>
      </c>
      <c r="AB15" s="2" t="inlineStr">
        <is>
          <t>2900 g</t>
        </is>
      </c>
      <c r="AC15" s="2" t="inlineStr">
        <is>
          <t>14.4 L</t>
        </is>
      </c>
      <c r="AD15" s="2" t="inlineStr">
        <is>
          <t>LENOVO&amp;MECHREVO Online Store</t>
        </is>
      </c>
      <c r="AE15" s="2" t="inlineStr">
        <is>
          <t>跨境卖家</t>
        </is>
      </c>
      <c r="AF15" s="2" t="inlineStr">
        <is>
          <t>RFBS</t>
        </is>
      </c>
      <c r="AG15" s="2" t="n">
        <v>0.0</v>
      </c>
    </row>
    <row r="16" customHeight="true" ht="64.0">
      <c r="A16" s="2" t="n">
        <v>15.0</v>
      </c>
      <c r="B16" s="2" t="inlineStr">
        <is>
          <t>https://ir.ozone.ru/s3/multimedia-1-l/wc300/11200804869.jpg</t>
        </is>
      </c>
      <c r="C16" s="2" t="n">
        <f>IF(ISERROR(IMAGE("https://ir.ozone.ru/s3/multimedia-1-l/wc300/11200804869.jpg")),"请使用新版Excel2024查看图片",IMAGE("https://ir.ozone.ru/s3/multimedia-1-l/wc300/11200804869.jpg"))</f>
        <v>0.0</v>
      </c>
      <c r="D16" s="2" t="inlineStr">
        <is>
          <t xml:space="preserve">Принтер </t>
        </is>
      </c>
      <c r="E16" s="2" t="inlineStr">
        <is>
          <t>https://www.ozon.ru/product/4312535587</t>
        </is>
      </c>
      <c r="F16" s="2" t="n">
        <v>4.312535587E9</v>
      </c>
      <c r="G16" s="2" t="inlineStr">
        <is>
          <t/>
        </is>
      </c>
      <c r="H16" s="3" t="inlineStr">
        <is>
          <t>打印机
Принтер</t>
        </is>
      </c>
      <c r="I16" s="3" t="inlineStr">
        <is>
          <t>跨境卖家可售</t>
        </is>
      </c>
      <c r="J16" s="2" t="inlineStr">
        <is>
          <t>77915₽</t>
        </is>
      </c>
      <c r="K16" s="2" t="n">
        <v>11.0</v>
      </c>
      <c r="L16" s="2" t="inlineStr">
        <is>
          <t>947966₽</t>
        </is>
      </c>
      <c r="M16" s="2" t="inlineStr">
        <is>
          <t>100%</t>
        </is>
      </c>
      <c r="N16" s="2" t="inlineStr">
        <is>
          <t>100%</t>
        </is>
      </c>
      <c r="O16" s="2" t="inlineStr">
        <is>
          <t>52.7%</t>
        </is>
      </c>
      <c r="P16" s="2" t="n">
        <v>34143.0</v>
      </c>
      <c r="Q16" s="2" t="n">
        <v>13751.0</v>
      </c>
      <c r="R16" s="2" t="n">
        <v>2754.0</v>
      </c>
      <c r="S16" s="2" t="inlineStr">
        <is>
          <t>4.75%</t>
        </is>
      </c>
      <c r="T16" s="2" t="inlineStr">
        <is>
          <t>8.4%</t>
        </is>
      </c>
      <c r="U16" s="2" t="inlineStr">
        <is>
          <t>0.57%</t>
        </is>
      </c>
      <c r="V16" s="2"/>
      <c r="W16" s="2" t="inlineStr">
        <is>
          <t>0₽</t>
        </is>
      </c>
      <c r="X16" s="2" t="n">
        <v>1.0</v>
      </c>
      <c r="Y16" s="2"/>
      <c r="Z16" s="2"/>
      <c r="AA16" s="3" t="inlineStr">
        <is>
          <t>2026-05-15
1 个月</t>
        </is>
      </c>
      <c r="AB16" s="2" t="inlineStr">
        <is>
          <t>22000 g</t>
        </is>
      </c>
      <c r="AC16" s="2" t="inlineStr">
        <is>
          <t>166.072 L</t>
        </is>
      </c>
      <c r="AD16" s="2" t="inlineStr">
        <is>
          <t>Ria 3D</t>
        </is>
      </c>
      <c r="AE16" s="2" t="inlineStr">
        <is>
          <t>跨境卖家</t>
        </is>
      </c>
      <c r="AF16" s="2" t="inlineStr">
        <is>
          <t>RFBS</t>
        </is>
      </c>
      <c r="AG16" s="2" t="n">
        <v>5.0</v>
      </c>
    </row>
    <row r="17" customHeight="true" ht="64.0">
      <c r="A17" s="2" t="n">
        <v>16.0</v>
      </c>
      <c r="B17" s="2" t="inlineStr">
        <is>
          <t>https://ir.ozone.ru/s3/multimedia-1-v/wc300/10363011151.jpg</t>
        </is>
      </c>
      <c r="C17" s="2" t="n">
        <f>IF(ISERROR(IMAGE("https://ir.ozone.ru/s3/multimedia-1-v/wc300/10363011151.jpg")),"请使用新版Excel2024查看图片",IMAGE("https://ir.ozone.ru/s3/multimedia-1-v/wc300/10363011151.jpg"))</f>
        <v>0.0</v>
      </c>
      <c r="D17" s="2" t="inlineStr">
        <is>
          <t>3D-принтер Snapmaker U1 для печати</t>
        </is>
      </c>
      <c r="E17" s="2" t="inlineStr">
        <is>
          <t>https://www.ozon.ru/product/4362819752</t>
        </is>
      </c>
      <c r="F17" s="2" t="n">
        <v>4.362819752E9</v>
      </c>
      <c r="G17" s="2" t="inlineStr">
        <is>
          <t/>
        </is>
      </c>
      <c r="H17" s="3" t="inlineStr">
        <is>
          <t>复印机
Копировальный аппарат</t>
        </is>
      </c>
      <c r="I17" s="3" t="inlineStr">
        <is>
          <t>跨境卖家可售</t>
        </is>
      </c>
      <c r="J17" s="2" t="inlineStr">
        <is>
          <t>38701₽</t>
        </is>
      </c>
      <c r="K17" s="2" t="n">
        <v>24.0</v>
      </c>
      <c r="L17" s="2" t="inlineStr">
        <is>
          <t>928824₽</t>
        </is>
      </c>
      <c r="M17" s="2" t="inlineStr">
        <is>
          <t>100%</t>
        </is>
      </c>
      <c r="N17" s="2" t="inlineStr">
        <is>
          <t>100%</t>
        </is>
      </c>
      <c r="O17" s="2" t="inlineStr">
        <is>
          <t/>
        </is>
      </c>
      <c r="P17" s="2" t="n">
        <v>3857.0</v>
      </c>
      <c r="Q17" s="2" t="n">
        <v>852.0</v>
      </c>
      <c r="R17" s="2" t="n">
        <v>1271.0</v>
      </c>
      <c r="S17" s="2" t="inlineStr">
        <is>
          <t>3.77%</t>
        </is>
      </c>
      <c r="T17" s="2" t="inlineStr">
        <is>
          <t>50.0%</t>
        </is>
      </c>
      <c r="U17" s="2" t="inlineStr">
        <is>
          <t>0.0%</t>
        </is>
      </c>
      <c r="V17" s="2"/>
      <c r="W17" s="2" t="inlineStr">
        <is>
          <t>0₽</t>
        </is>
      </c>
      <c r="X17" s="2" t="n">
        <v>1.0</v>
      </c>
      <c r="Y17" s="2"/>
      <c r="Z17" s="2"/>
      <c r="AA17" s="3" t="inlineStr">
        <is>
          <t>2026-05-19
&lt; 1 个月</t>
        </is>
      </c>
      <c r="AB17" s="2" t="inlineStr">
        <is>
          <t/>
        </is>
      </c>
      <c r="AC17" s="2" t="inlineStr">
        <is>
          <t/>
        </is>
      </c>
      <c r="AD17" s="2" t="inlineStr">
        <is>
          <t>ТехБит</t>
        </is>
      </c>
      <c r="AE17" s="2" t="inlineStr">
        <is>
          <t>跨境卖家</t>
        </is>
      </c>
      <c r="AF17" s="2" t="inlineStr">
        <is>
          <t>RFBS</t>
        </is>
      </c>
      <c r="AG17" s="2" t="n">
        <v>0.0</v>
      </c>
    </row>
    <row r="18" customHeight="true" ht="64.0">
      <c r="A18" s="2" t="n">
        <v>17.0</v>
      </c>
      <c r="B18" s="2" t="inlineStr">
        <is>
          <t>https://ir.ozone.ru/s3/multimedia-1-w/wc300/10724344124.jpg</t>
        </is>
      </c>
      <c r="C18" s="2" t="n">
        <f>IF(ISERROR(IMAGE("https://ir.ozone.ru/s3/multimedia-1-w/wc300/10724344124.jpg")),"请使用新版Excel2024查看图片",IMAGE("https://ir.ozone.ru/s3/multimedia-1-w/wc300/10724344124.jpg"))</f>
        <v>0.0</v>
      </c>
      <c r="D18" s="2" t="inlineStr">
        <is>
          <t>VIDDA Гобо-проектор 2026Vidda C5 Ultra 4K трехцветный лазерный проектор 4400 CVIA MT9681 MCL3A  4+64 ГБ 0,9-1,5:1 оптический зум видео 3D Android Cinema проектор, перламутровый</t>
        </is>
      </c>
      <c r="E18" s="2" t="inlineStr">
        <is>
          <t>https://www.ozon.ru/product/4413035738</t>
        </is>
      </c>
      <c r="F18" s="2" t="n">
        <v>4.413035738E9</v>
      </c>
      <c r="G18" s="2" t="inlineStr">
        <is>
          <t>VIDDA</t>
        </is>
      </c>
      <c r="H18" s="3" t="inlineStr">
        <is>
          <t>图案投影仪
Гобо-проектор</t>
        </is>
      </c>
      <c r="I18" s="3" t="inlineStr">
        <is>
          <t>跨境卖家可售</t>
        </is>
      </c>
      <c r="J18" s="2" t="inlineStr">
        <is>
          <t>91816₽</t>
        </is>
      </c>
      <c r="K18" s="2" t="n">
        <v>11.0</v>
      </c>
      <c r="L18" s="2" t="inlineStr">
        <is>
          <t>924349₽</t>
        </is>
      </c>
      <c r="M18" s="2" t="inlineStr">
        <is>
          <t>100%</t>
        </is>
      </c>
      <c r="N18" s="2" t="inlineStr">
        <is>
          <t>100%</t>
        </is>
      </c>
      <c r="O18" s="2" t="inlineStr">
        <is>
          <t>52.8%</t>
        </is>
      </c>
      <c r="P18" s="2" t="n">
        <v>10477.0</v>
      </c>
      <c r="Q18" s="2" t="n">
        <v>2328.0</v>
      </c>
      <c r="R18" s="2" t="n">
        <v>3007.0</v>
      </c>
      <c r="S18" s="2" t="inlineStr">
        <is>
          <t>2.22%</t>
        </is>
      </c>
      <c r="T18" s="2" t="inlineStr">
        <is>
          <t>16.4%</t>
        </is>
      </c>
      <c r="U18" s="2" t="inlineStr">
        <is>
          <t>0.17%</t>
        </is>
      </c>
      <c r="V18" s="2"/>
      <c r="W18" s="2" t="inlineStr">
        <is>
          <t>0₽</t>
        </is>
      </c>
      <c r="X18" s="2" t="n">
        <v>4.0</v>
      </c>
      <c r="Y18" s="2"/>
      <c r="Z18" s="2"/>
      <c r="AA18" s="3" t="inlineStr">
        <is>
          <t>2026-05-23
&lt; 1 个月</t>
        </is>
      </c>
      <c r="AB18" s="2" t="inlineStr">
        <is>
          <t>9000 g</t>
        </is>
      </c>
      <c r="AC18" s="2" t="inlineStr">
        <is>
          <t>3.375 L</t>
        </is>
      </c>
      <c r="AD18" s="2" t="inlineStr">
        <is>
          <t>zhoujun</t>
        </is>
      </c>
      <c r="AE18" s="2" t="inlineStr">
        <is>
          <t>跨境卖家</t>
        </is>
      </c>
      <c r="AF18" s="2" t="inlineStr">
        <is>
          <t>RFBS</t>
        </is>
      </c>
      <c r="AG18" s="2" t="n">
        <v>10.0</v>
      </c>
    </row>
    <row r="19" customHeight="true" ht="64.0">
      <c r="A19" s="2" t="n">
        <v>18.0</v>
      </c>
      <c r="B19" s="2" t="inlineStr">
        <is>
          <t>https://ir.ozone.ru/s3/multimedia-1-o/wc300/10562476812.jpg</t>
        </is>
      </c>
      <c r="C19" s="2" t="n">
        <f>IF(ISERROR(IMAGE("https://ir.ozone.ru/s3/multimedia-1-o/wc300/10562476812.jpg")),"请使用新版Excel2024查看图片",IMAGE("https://ir.ozone.ru/s3/multimedia-1-o/wc300/10562476812.jpg"))</f>
        <v>0.0</v>
      </c>
      <c r="D19" s="2" t="inlineStr">
        <is>
          <t>MICHELIN PILOT SPORT 5 Шины летние 255/40  R19 100Y</t>
        </is>
      </c>
      <c r="E19" s="2" t="inlineStr">
        <is>
          <t>https://www.ozon.ru/product/4387422192</t>
        </is>
      </c>
      <c r="F19" s="2" t="n">
        <v>4.387422192E9</v>
      </c>
      <c r="G19" s="2" t="inlineStr">
        <is>
          <t>MICHELIN</t>
        </is>
      </c>
      <c r="H19" s="3" t="inlineStr">
        <is>
          <t>乘用车轮胎
Шины для легковых автомобилей</t>
        </is>
      </c>
      <c r="I19" s="3" t="inlineStr">
        <is>
          <t>跨境卖家可售</t>
        </is>
      </c>
      <c r="J19" s="2" t="inlineStr">
        <is>
          <t>62850₽</t>
        </is>
      </c>
      <c r="K19" s="2" t="n">
        <v>14.0</v>
      </c>
      <c r="L19" s="2" t="inlineStr">
        <is>
          <t>879900₽</t>
        </is>
      </c>
      <c r="M19" s="2" t="inlineStr">
        <is>
          <t>100%</t>
        </is>
      </c>
      <c r="N19" s="2" t="inlineStr">
        <is>
          <t>100%</t>
        </is>
      </c>
      <c r="O19" s="2" t="inlineStr">
        <is>
          <t>58.7%</t>
        </is>
      </c>
      <c r="P19" s="2" t="n">
        <v>1792.0</v>
      </c>
      <c r="Q19" s="2" t="n">
        <v>794.0</v>
      </c>
      <c r="R19" s="2" t="n">
        <v>76.0</v>
      </c>
      <c r="S19" s="2" t="inlineStr">
        <is>
          <t>10.52%</t>
        </is>
      </c>
      <c r="T19" s="2" t="inlineStr">
        <is>
          <t>175.0%</t>
        </is>
      </c>
      <c r="U19" s="2" t="inlineStr">
        <is>
          <t>0.0%</t>
        </is>
      </c>
      <c r="V19" s="2"/>
      <c r="W19" s="2" t="inlineStr">
        <is>
          <t>0₽</t>
        </is>
      </c>
      <c r="X19" s="2" t="n">
        <v>1.0</v>
      </c>
      <c r="Y19" s="2"/>
      <c r="Z19" s="2"/>
      <c r="AA19" s="3" t="inlineStr">
        <is>
          <t>2026-05-21
&lt; 1 个月</t>
        </is>
      </c>
      <c r="AB19" s="2" t="inlineStr">
        <is>
          <t>15000 g</t>
        </is>
      </c>
      <c r="AC19" s="2" t="inlineStr">
        <is>
          <t>192 L</t>
        </is>
      </c>
      <c r="AD19" s="2" t="inlineStr">
        <is>
          <t>DB like</t>
        </is>
      </c>
      <c r="AE19" s="2" t="inlineStr">
        <is>
          <t>跨境卖家</t>
        </is>
      </c>
      <c r="AF19" s="2" t="inlineStr">
        <is>
          <t>RFBS</t>
        </is>
      </c>
      <c r="AG19" s="2" t="n">
        <v>0.0</v>
      </c>
    </row>
    <row r="20" customHeight="true" ht="64.0">
      <c r="A20" s="2" t="n">
        <v>19.0</v>
      </c>
      <c r="B20" s="2" t="inlineStr">
        <is>
          <t>https://ir.ozone.ru/s3/multimedia-1-p/wc300/9840713209.jpg</t>
        </is>
      </c>
      <c r="C20" s="2" t="n">
        <f>IF(ISERROR(IMAGE("https://ir.ozone.ru/s3/multimedia-1-p/wc300/9840713209.jpg")),"请使用新版Excel2024查看图片",IMAGE("https://ir.ozone.ru/s3/multimedia-1-p/wc300/9840713209.jpg"))</f>
        <v>0.0</v>
      </c>
      <c r="D20" s="2" t="inlineStr">
        <is>
          <t>Eversolo T8 сетевой Hi-Fi транспорт музыкальный стример USB IIS AES EBU Coaxial Optical Wi-Fi 6 6 дюймов LCD</t>
        </is>
      </c>
      <c r="E20" s="2" t="inlineStr">
        <is>
          <t>https://www.ozon.ru/product/4310933431</t>
        </is>
      </c>
      <c r="F20" s="2" t="n">
        <v>4.310933431E9</v>
      </c>
      <c r="G20" s="2" t="inlineStr">
        <is>
          <t>Eversolo</t>
        </is>
      </c>
      <c r="H20" s="3" t="inlineStr">
        <is>
          <t>音频设备备件
Запчасть для аудиотехники</t>
        </is>
      </c>
      <c r="I20" s="3" t="inlineStr">
        <is>
          <t>跨境卖家可售</t>
        </is>
      </c>
      <c r="J20" s="2" t="inlineStr">
        <is>
          <t>95765₽</t>
        </is>
      </c>
      <c r="K20" s="2" t="n">
        <v>9.0</v>
      </c>
      <c r="L20" s="2" t="inlineStr">
        <is>
          <t>860074₽</t>
        </is>
      </c>
      <c r="M20" s="2" t="inlineStr">
        <is>
          <t>100%</t>
        </is>
      </c>
      <c r="N20" s="2" t="inlineStr">
        <is>
          <t>100%</t>
        </is>
      </c>
      <c r="O20" s="2" t="inlineStr">
        <is>
          <t>50.8%</t>
        </is>
      </c>
      <c r="P20" s="2" t="n">
        <v>6479.0</v>
      </c>
      <c r="Q20" s="2" t="n">
        <v>753.0</v>
      </c>
      <c r="R20" s="2" t="n">
        <v>1265.0</v>
      </c>
      <c r="S20" s="2" t="inlineStr">
        <is>
          <t>4.34%</t>
        </is>
      </c>
      <c r="T20" s="2" t="inlineStr">
        <is>
          <t>16.4%</t>
        </is>
      </c>
      <c r="U20" s="2" t="inlineStr">
        <is>
          <t>0.0%</t>
        </is>
      </c>
      <c r="V20" s="2"/>
      <c r="W20" s="2" t="inlineStr">
        <is>
          <t>0₽</t>
        </is>
      </c>
      <c r="X20" s="2" t="n">
        <v>1.0</v>
      </c>
      <c r="Y20" s="2"/>
      <c r="Z20" s="2"/>
      <c r="AA20" s="3" t="inlineStr">
        <is>
          <t>2026-05-15
1 个月</t>
        </is>
      </c>
      <c r="AB20" s="2" t="inlineStr">
        <is>
          <t>6200 g</t>
        </is>
      </c>
      <c r="AC20" s="2" t="inlineStr">
        <is>
          <t>25.344 L</t>
        </is>
      </c>
      <c r="AD20" s="2" t="inlineStr">
        <is>
          <t>AUDIONIXA</t>
        </is>
      </c>
      <c r="AE20" s="2" t="inlineStr">
        <is>
          <t>跨境卖家</t>
        </is>
      </c>
      <c r="AF20" s="2" t="inlineStr">
        <is>
          <t>RFBS</t>
        </is>
      </c>
      <c r="AG20" s="2" t="n">
        <v>7.0</v>
      </c>
    </row>
    <row r="21" customHeight="true" ht="64.0">
      <c r="A21" s="2" t="n">
        <v>20.0</v>
      </c>
      <c r="B21" s="2" t="inlineStr">
        <is>
          <t>https://ir.ozone.ru/s3/multimedia-1-6/wc300/10481205318.jpg</t>
        </is>
      </c>
      <c r="C21" s="2" t="n">
        <f>IF(ISERROR(IMAGE("https://ir.ozone.ru/s3/multimedia-1-6/wc300/10481205318.jpg")),"请使用新版Excel2024查看图片",IMAGE("https://ir.ozone.ru/s3/multimedia-1-6/wc300/10481205318.jpg"))</f>
        <v>0.0</v>
      </c>
      <c r="D21" s="2" t="inlineStr">
        <is>
          <t xml:space="preserve"> Пленка самоклеящаяся, длина: 200 см, ширина: 10 см</t>
        </is>
      </c>
      <c r="E21" s="2" t="inlineStr">
        <is>
          <t>https://www.ozon.ru/product/4311187014</t>
        </is>
      </c>
      <c r="F21" s="2" t="n">
        <v>4.311187014E9</v>
      </c>
      <c r="G21" s="2" t="inlineStr">
        <is>
          <t/>
        </is>
      </c>
      <c r="H21" s="3" t="inlineStr">
        <is>
          <t>自粘膜
Пленка самоклеящаяся</t>
        </is>
      </c>
      <c r="I21" s="3" t="inlineStr">
        <is>
          <t>跨境卖家可售</t>
        </is>
      </c>
      <c r="J21" s="2" t="inlineStr">
        <is>
          <t>533₽</t>
        </is>
      </c>
      <c r="K21" s="2" t="n">
        <v>1352.0</v>
      </c>
      <c r="L21" s="2" t="inlineStr">
        <is>
          <t>853690₽</t>
        </is>
      </c>
      <c r="M21" s="2" t="inlineStr">
        <is>
          <t>100%</t>
        </is>
      </c>
      <c r="N21" s="2" t="inlineStr">
        <is>
          <t>100%</t>
        </is>
      </c>
      <c r="O21" s="2" t="inlineStr">
        <is>
          <t>54.2%</t>
        </is>
      </c>
      <c r="P21" s="2" t="n">
        <v>424767.0</v>
      </c>
      <c r="Q21" s="2" t="n">
        <v>1033.0</v>
      </c>
      <c r="R21" s="2" t="n">
        <v>115445.0</v>
      </c>
      <c r="S21" s="2" t="inlineStr">
        <is>
          <t>30.26%</t>
        </is>
      </c>
      <c r="T21" s="2" t="inlineStr">
        <is>
          <t>3.9%</t>
        </is>
      </c>
      <c r="U21" s="2" t="inlineStr">
        <is>
          <t>0.0%</t>
        </is>
      </c>
      <c r="V21" s="2"/>
      <c r="W21" s="2" t="inlineStr">
        <is>
          <t>0₽</t>
        </is>
      </c>
      <c r="X21" s="2" t="n">
        <v>2.0</v>
      </c>
      <c r="Y21" s="2" t="n">
        <v>24.0</v>
      </c>
      <c r="Z21" s="2" t="inlineStr">
        <is>
          <t>4.9</t>
        </is>
      </c>
      <c r="AA21" s="3" t="inlineStr">
        <is>
          <t>2026-05-15
1 个月</t>
        </is>
      </c>
      <c r="AB21" s="2" t="inlineStr">
        <is>
          <t>137 g</t>
        </is>
      </c>
      <c r="AC21" s="2" t="inlineStr">
        <is>
          <t>2.311 L</t>
        </is>
      </c>
      <c r="AD21" s="2" t="inlineStr">
        <is>
          <t>CG</t>
        </is>
      </c>
      <c r="AE21" s="2" t="inlineStr">
        <is>
          <t>跨境卖家</t>
        </is>
      </c>
      <c r="AF21" s="2" t="inlineStr">
        <is>
          <t>RFBS</t>
        </is>
      </c>
      <c r="AG21" s="2" t="n">
        <v>2.0</v>
      </c>
    </row>
    <row r="22" customHeight="true" ht="64.0">
      <c r="A22" s="2" t="n">
        <v>21.0</v>
      </c>
      <c r="B22" s="2" t="inlineStr">
        <is>
          <t>https://ir.ozone.ru/s3/multimedia-1-m/wc300/11110879462.jpg</t>
        </is>
      </c>
      <c r="C22" s="2" t="n">
        <f>IF(ISERROR(IMAGE("https://ir.ozone.ru/s3/multimedia-1-m/wc300/11110879462.jpg")),"请使用新版Excel2024查看图片",IMAGE("https://ir.ozone.ru/s3/multimedia-1-m/wc300/11110879462.jpg"))</f>
        <v>0.0</v>
      </c>
      <c r="D22" s="2" t="inlineStr">
        <is>
          <t>Google Смартфон Pixel 7 8/256 ГБ, Nano-SIM, eSIM, светло-зеленый</t>
        </is>
      </c>
      <c r="E22" s="2" t="inlineStr">
        <is>
          <t>https://www.ozon.ru/product/4319921969</t>
        </is>
      </c>
      <c r="F22" s="2" t="n">
        <v>4.319921969E9</v>
      </c>
      <c r="G22" s="2" t="inlineStr">
        <is>
          <t>Google</t>
        </is>
      </c>
      <c r="H22" s="3" t="inlineStr">
        <is>
          <t>智能手机
Смартфон</t>
        </is>
      </c>
      <c r="I22" s="3" t="inlineStr">
        <is>
          <t>跨境卖家可售</t>
        </is>
      </c>
      <c r="J22" s="2" t="inlineStr">
        <is>
          <t>22521₽</t>
        </is>
      </c>
      <c r="K22" s="2" t="n">
        <v>37.0</v>
      </c>
      <c r="L22" s="2" t="inlineStr">
        <is>
          <t>846537₽</t>
        </is>
      </c>
      <c r="M22" s="2" t="inlineStr">
        <is>
          <t>100%</t>
        </is>
      </c>
      <c r="N22" s="2" t="inlineStr">
        <is>
          <t>100%</t>
        </is>
      </c>
      <c r="O22" s="2" t="inlineStr">
        <is>
          <t>56.6%</t>
        </is>
      </c>
      <c r="P22" s="2" t="n">
        <v>30223.0</v>
      </c>
      <c r="Q22" s="2" t="n">
        <v>623.0</v>
      </c>
      <c r="R22" s="2" t="n">
        <v>6625.0</v>
      </c>
      <c r="S22" s="2" t="inlineStr">
        <is>
          <t>5.47%</t>
        </is>
      </c>
      <c r="T22" s="2" t="inlineStr">
        <is>
          <t>10.2%</t>
        </is>
      </c>
      <c r="U22" s="2" t="inlineStr">
        <is>
          <t>0.0%</t>
        </is>
      </c>
      <c r="V22" s="2"/>
      <c r="W22" s="2" t="inlineStr">
        <is>
          <t>0₽</t>
        </is>
      </c>
      <c r="X22" s="2" t="n">
        <v>2.0</v>
      </c>
      <c r="Y22" s="2" t="n">
        <v>23.0</v>
      </c>
      <c r="Z22" s="2" t="inlineStr">
        <is>
          <t>4.8</t>
        </is>
      </c>
      <c r="AA22" s="3" t="inlineStr">
        <is>
          <t>2026-05-15
1 个月</t>
        </is>
      </c>
      <c r="AB22" s="2" t="inlineStr">
        <is>
          <t>500 g</t>
        </is>
      </c>
      <c r="AC22" s="2" t="inlineStr">
        <is>
          <t>1 L</t>
        </is>
      </c>
      <c r="AD22" s="2" t="inlineStr">
        <is>
          <t>AE Dubai Freezone Official</t>
        </is>
      </c>
      <c r="AE22" s="2" t="inlineStr">
        <is>
          <t>跨境卖家</t>
        </is>
      </c>
      <c r="AF22" s="2" t="inlineStr">
        <is>
          <t>RFBS</t>
        </is>
      </c>
      <c r="AG22" s="2" t="n">
        <v>34.0</v>
      </c>
    </row>
    <row r="23" customHeight="true" ht="64.0">
      <c r="A23" s="2" t="n">
        <v>22.0</v>
      </c>
      <c r="B23" s="2" t="inlineStr">
        <is>
          <t>https://ir.ozone.ru/s3/multimedia-1-0/wc300/10512358884.jpg</t>
        </is>
      </c>
      <c r="C23" s="2" t="n">
        <f>IF(ISERROR(IMAGE("https://ir.ozone.ru/s3/multimedia-1-0/wc300/10512358884.jpg")),"请使用新版Excel2024查看图片",IMAGE("https://ir.ozone.ru/s3/multimedia-1-0/wc300/10512358884.jpg"))</f>
        <v>0.0</v>
      </c>
      <c r="D23" s="2" t="inlineStr">
        <is>
          <t>Торцовочная пила с протяжкой Metabo KGS 216 M (арт. 613216000) 1500 Вт, 5000 об./мин, d 216 мм.</t>
        </is>
      </c>
      <c r="E23" s="2" t="inlineStr">
        <is>
          <t>https://www.ozon.ru/product/4325356764</t>
        </is>
      </c>
      <c r="F23" s="2" t="n">
        <v>4.325356764E9</v>
      </c>
      <c r="G23" s="2" t="inlineStr">
        <is>
          <t/>
        </is>
      </c>
      <c r="H23" s="3" t="inlineStr">
        <is>
          <t>电锯
Электропила</t>
        </is>
      </c>
      <c r="I23" s="3" t="inlineStr">
        <is>
          <t>跨境卖家可售</t>
        </is>
      </c>
      <c r="J23" s="2" t="inlineStr">
        <is>
          <t>28867₽</t>
        </is>
      </c>
      <c r="K23" s="2" t="n">
        <v>35.0</v>
      </c>
      <c r="L23" s="2" t="inlineStr">
        <is>
          <t>819140₽</t>
        </is>
      </c>
      <c r="M23" s="2" t="inlineStr">
        <is>
          <t>100%</t>
        </is>
      </c>
      <c r="N23" s="2" t="inlineStr">
        <is>
          <t>100%</t>
        </is>
      </c>
      <c r="O23" s="2" t="inlineStr">
        <is>
          <t>52.3%</t>
        </is>
      </c>
      <c r="P23" s="2" t="n">
        <v>4818.0</v>
      </c>
      <c r="Q23" s="2" t="n">
        <v>371.0</v>
      </c>
      <c r="R23" s="2" t="n">
        <v>1611.0</v>
      </c>
      <c r="S23" s="2" t="inlineStr">
        <is>
          <t>4.59%</t>
        </is>
      </c>
      <c r="T23" s="2" t="inlineStr">
        <is>
          <t>47.3%</t>
        </is>
      </c>
      <c r="U23" s="2" t="inlineStr">
        <is>
          <t>0.0%</t>
        </is>
      </c>
      <c r="V23" s="2"/>
      <c r="W23" s="2" t="inlineStr">
        <is>
          <t>0₽</t>
        </is>
      </c>
      <c r="X23" s="2" t="n">
        <v>2.0</v>
      </c>
      <c r="Y23" s="2"/>
      <c r="Z23" s="2"/>
      <c r="AA23" s="3" t="inlineStr">
        <is>
          <t>2026-05-16
&lt; 1 个月</t>
        </is>
      </c>
      <c r="AB23" s="2" t="inlineStr">
        <is>
          <t>13000 g</t>
        </is>
      </c>
      <c r="AC23" s="2" t="inlineStr">
        <is>
          <t>150.176 L</t>
        </is>
      </c>
      <c r="AD23" s="2" t="inlineStr">
        <is>
          <t>hubayi Магазин одежды 5</t>
        </is>
      </c>
      <c r="AE23" s="2" t="inlineStr">
        <is>
          <t>跨境卖家</t>
        </is>
      </c>
      <c r="AF23" s="2" t="inlineStr">
        <is>
          <t>RFBS</t>
        </is>
      </c>
      <c r="AG23" s="2" t="n">
        <v>1.0</v>
      </c>
    </row>
    <row r="24" customHeight="true" ht="64.0">
      <c r="A24" s="2" t="n">
        <v>23.0</v>
      </c>
      <c r="B24" s="2" t="inlineStr">
        <is>
          <t>https://ir.ozone.ru/s3/multimedia-1-r/wc300/9462059559.jpg</t>
        </is>
      </c>
      <c r="C24" s="2" t="n">
        <f>IF(ISERROR(IMAGE("https://ir.ozone.ru/s3/multimedia-1-r/wc300/9462059559.jpg")),"请使用新版Excel2024查看图片",IMAGE("https://ir.ozone.ru/s3/multimedia-1-r/wc300/9462059559.jpg"))</f>
        <v>0.0</v>
      </c>
      <c r="D24" s="2" t="inlineStr">
        <is>
          <t>Насос аккумуляторный для лодок ПВХ, sup досок, насос электрический HT-790</t>
        </is>
      </c>
      <c r="E24" s="2" t="inlineStr">
        <is>
          <t>https://www.ozon.ru/product/4350698238</t>
        </is>
      </c>
      <c r="F24" s="2" t="n">
        <v>4.350698238E9</v>
      </c>
      <c r="G24" s="2" t="inlineStr">
        <is>
          <t/>
        </is>
      </c>
      <c r="H24" s="3" t="inlineStr">
        <is>
          <t>泵
Насос</t>
        </is>
      </c>
      <c r="I24" s="3" t="inlineStr">
        <is>
          <t>跨境卖家可售</t>
        </is>
      </c>
      <c r="J24" s="2" t="inlineStr">
        <is>
          <t>6248₽</t>
        </is>
      </c>
      <c r="K24" s="2" t="n">
        <v>131.0</v>
      </c>
      <c r="L24" s="2" t="inlineStr">
        <is>
          <t>804836₽</t>
        </is>
      </c>
      <c r="M24" s="2" t="inlineStr">
        <is>
          <t>100%</t>
        </is>
      </c>
      <c r="N24" s="2" t="inlineStr">
        <is>
          <t>100%</t>
        </is>
      </c>
      <c r="O24" s="2" t="inlineStr">
        <is>
          <t>48%</t>
        </is>
      </c>
      <c r="P24" s="2" t="n">
        <v>60004.0</v>
      </c>
      <c r="Q24" s="2" t="n">
        <v>34037.0</v>
      </c>
      <c r="R24" s="2" t="n">
        <v>4196.0</v>
      </c>
      <c r="S24" s="2" t="inlineStr">
        <is>
          <t>11.1%</t>
        </is>
      </c>
      <c r="T24" s="2" t="inlineStr">
        <is>
          <t>28.1%</t>
        </is>
      </c>
      <c r="U24" s="2" t="inlineStr">
        <is>
          <t>1.23%</t>
        </is>
      </c>
      <c r="V24" s="2"/>
      <c r="W24" s="2" t="inlineStr">
        <is>
          <t>0₽</t>
        </is>
      </c>
      <c r="X24" s="2" t="n">
        <v>1.0</v>
      </c>
      <c r="Y24" s="2"/>
      <c r="Z24" s="2" t="inlineStr">
        <is>
          <t>5.0</t>
        </is>
      </c>
      <c r="AA24" s="3" t="inlineStr">
        <is>
          <t>2026-05-18
&lt; 1 个月</t>
        </is>
      </c>
      <c r="AB24" s="2" t="inlineStr">
        <is>
          <t>3000 g</t>
        </is>
      </c>
      <c r="AC24" s="2" t="inlineStr">
        <is>
          <t>11.172 L</t>
        </is>
      </c>
      <c r="AD24" s="2" t="inlineStr">
        <is>
          <t>Aries</t>
        </is>
      </c>
      <c r="AE24" s="2" t="inlineStr">
        <is>
          <t>跨境卖家</t>
        </is>
      </c>
      <c r="AF24" s="2" t="inlineStr">
        <is>
          <t>RFBS</t>
        </is>
      </c>
      <c r="AG24" s="2" t="n">
        <v>5.0</v>
      </c>
    </row>
    <row r="25" customHeight="true" ht="64.0">
      <c r="A25" s="2" t="n">
        <v>24.0</v>
      </c>
      <c r="B25" s="2" t="inlineStr">
        <is>
          <t>https://ir.ozone.ru/s3/multimedia-1-g/wc300/10406580496.jpg</t>
        </is>
      </c>
      <c r="C25" s="2" t="n">
        <f>IF(ISERROR(IMAGE("https://ir.ozone.ru/s3/multimedia-1-g/wc300/10406580496.jpg")),"请使用新版Excel2024查看图片",IMAGE("https://ir.ozone.ru/s3/multimedia-1-g/wc300/10406580496.jpg"))</f>
        <v>0.0</v>
      </c>
      <c r="D25" s="2" t="inlineStr">
        <is>
          <t>JMGO Гобо-проектор JMGO N5S Ultra Max 3840x2160 Qualas42 5600CVIA Люмен 4 + 128ГБ 3-цветной лазерный проектор с оптическим зумом 0.88-1.7:1 для видеои</t>
        </is>
      </c>
      <c r="E25" s="2" t="inlineStr">
        <is>
          <t>https://www.ozon.ru/product/4476819996</t>
        </is>
      </c>
      <c r="F25" s="2" t="n">
        <v>4.476819996E9</v>
      </c>
      <c r="G25" s="2" t="inlineStr">
        <is>
          <t/>
        </is>
      </c>
      <c r="H25" s="3" t="inlineStr">
        <is>
          <t>图案投影仪
Гобо-проектор</t>
        </is>
      </c>
      <c r="I25" s="3" t="inlineStr">
        <is>
          <t>跨境卖家可售</t>
        </is>
      </c>
      <c r="J25" s="2" t="inlineStr">
        <is>
          <t>133422₽</t>
        </is>
      </c>
      <c r="K25" s="2" t="n">
        <v>6.0</v>
      </c>
      <c r="L25" s="2" t="inlineStr">
        <is>
          <t>800532₽</t>
        </is>
      </c>
      <c r="M25" s="2" t="inlineStr">
        <is>
          <t>100%</t>
        </is>
      </c>
      <c r="N25" s="2" t="inlineStr">
        <is>
          <t>100%</t>
        </is>
      </c>
      <c r="O25" s="2" t="inlineStr">
        <is>
          <t>52.9%</t>
        </is>
      </c>
      <c r="P25" s="2" t="n">
        <v>1768.0</v>
      </c>
      <c r="Q25" s="2" t="n">
        <v>296.0</v>
      </c>
      <c r="R25" s="2" t="n">
        <v>345.0</v>
      </c>
      <c r="S25" s="2" t="inlineStr">
        <is>
          <t>4.92%</t>
        </is>
      </c>
      <c r="T25" s="2" t="inlineStr">
        <is>
          <t>35.3%</t>
        </is>
      </c>
      <c r="U25" s="2" t="inlineStr">
        <is>
          <t>0.0%</t>
        </is>
      </c>
      <c r="V25" s="2"/>
      <c r="W25" s="2" t="inlineStr">
        <is>
          <t>0₽</t>
        </is>
      </c>
      <c r="X25" s="2" t="n">
        <v>1.0</v>
      </c>
      <c r="Y25" s="2"/>
      <c r="Z25" s="2"/>
      <c r="AA25" s="3" t="inlineStr">
        <is>
          <t>2026-05-28
&lt; 1 个月</t>
        </is>
      </c>
      <c r="AB25" s="2" t="inlineStr">
        <is>
          <t>10332 g</t>
        </is>
      </c>
      <c r="AC25" s="2" t="inlineStr">
        <is>
          <t>3.375 L</t>
        </is>
      </c>
      <c r="AD25" s="2" t="inlineStr">
        <is>
          <t>AI мир</t>
        </is>
      </c>
      <c r="AE25" s="2" t="inlineStr">
        <is>
          <t>跨境卖家</t>
        </is>
      </c>
      <c r="AF25" s="2" t="inlineStr">
        <is>
          <t>RFBS</t>
        </is>
      </c>
      <c r="AG25" s="2" t="n">
        <v>0.0</v>
      </c>
    </row>
    <row r="26" customHeight="true" ht="64.0">
      <c r="A26" s="2" t="n">
        <v>25.0</v>
      </c>
      <c r="B26" s="2" t="inlineStr">
        <is>
          <t>https://ir.ozone.ru/s3/multimedia-1-z/wc300/10572220979.jpg</t>
        </is>
      </c>
      <c r="C26" s="2" t="n">
        <f>IF(ISERROR(IMAGE("https://ir.ozone.ru/s3/multimedia-1-z/wc300/10572220979.jpg")),"请使用新版Excel2024查看图片",IMAGE("https://ir.ozone.ru/s3/multimedia-1-z/wc300/10572220979.jpg"))</f>
        <v>0.0</v>
      </c>
      <c r="D26" s="2" t="inlineStr">
        <is>
          <t>Соединение трубы m28-m18 из алюминиевого сплава 7075 толщиной20 см Shan Bao может быть оснащено счетчиком на 3000фунтов на квадратный дюйм.</t>
        </is>
      </c>
      <c r="E26" s="2" t="inlineStr">
        <is>
          <t>https://www.ozon.ru/product/4356260410</t>
        </is>
      </c>
      <c r="F26" s="2" t="n">
        <v>4.35626041E9</v>
      </c>
      <c r="G26" s="2" t="inlineStr">
        <is>
          <t/>
        </is>
      </c>
      <c r="H26" s="3" t="inlineStr">
        <is>
          <t>泵
Насос</t>
        </is>
      </c>
      <c r="I26" s="3" t="inlineStr">
        <is>
          <t>跨境卖家可售</t>
        </is>
      </c>
      <c r="J26" s="2" t="inlineStr">
        <is>
          <t>1492₽</t>
        </is>
      </c>
      <c r="K26" s="2" t="n">
        <v>528.0</v>
      </c>
      <c r="L26" s="2" t="inlineStr">
        <is>
          <t>787776₽</t>
        </is>
      </c>
      <c r="M26" s="2" t="inlineStr">
        <is>
          <t>100%</t>
        </is>
      </c>
      <c r="N26" s="2" t="inlineStr">
        <is>
          <t>100%</t>
        </is>
      </c>
      <c r="O26" s="2" t="inlineStr">
        <is>
          <t/>
        </is>
      </c>
      <c r="P26" s="2" t="n">
        <v>246.0</v>
      </c>
      <c r="Q26" s="2" t="n">
        <v>52.0</v>
      </c>
      <c r="R26" s="2" t="n">
        <v>83.0</v>
      </c>
      <c r="S26" s="2" t="inlineStr">
        <is>
          <t>24.09%</t>
        </is>
      </c>
      <c r="T26" s="2" t="inlineStr">
        <is>
          <t>2640.0%</t>
        </is>
      </c>
      <c r="U26" s="2" t="inlineStr">
        <is>
          <t>0.0%</t>
        </is>
      </c>
      <c r="V26" s="2"/>
      <c r="W26" s="2" t="inlineStr">
        <is>
          <t>0₽</t>
        </is>
      </c>
      <c r="X26" s="2" t="n">
        <v>1.0</v>
      </c>
      <c r="Y26" s="2"/>
      <c r="Z26" s="2"/>
      <c r="AA26" s="3" t="inlineStr">
        <is>
          <t>2026-05-18
&lt; 1 个月</t>
        </is>
      </c>
      <c r="AB26" s="2" t="inlineStr">
        <is>
          <t/>
        </is>
      </c>
      <c r="AC26" s="2" t="inlineStr">
        <is>
          <t/>
        </is>
      </c>
      <c r="AD26" s="2" t="inlineStr">
        <is>
          <t>tanyan004</t>
        </is>
      </c>
      <c r="AE26" s="2" t="inlineStr">
        <is>
          <t>跨境卖家</t>
        </is>
      </c>
      <c r="AF26" s="2" t="inlineStr">
        <is>
          <t>RFBS</t>
        </is>
      </c>
      <c r="AG26" s="2" t="n">
        <v>0.0</v>
      </c>
    </row>
    <row r="27" customHeight="true" ht="64.0">
      <c r="A27" s="2" t="n">
        <v>26.0</v>
      </c>
      <c r="B27" s="2" t="inlineStr">
        <is>
          <t>https://ir.ozone.ru/s3/multimedia-1-9/wc300/10947003633.jpg</t>
        </is>
      </c>
      <c r="C27" s="2" t="n">
        <f>IF(ISERROR(IMAGE("https://ir.ozone.ru/s3/multimedia-1-9/wc300/10947003633.jpg")),"请使用新版Excel2024查看图片",IMAGE("https://ir.ozone.ru/s3/multimedia-1-9/wc300/10947003633.jpg"))</f>
        <v>0.0</v>
      </c>
      <c r="D27" s="2" t="inlineStr">
        <is>
          <t>BiorepairЗубная паста Total Protective Repair "Комплексная Защита+Ночной ремонт", 75 мл, 2 шт.</t>
        </is>
      </c>
      <c r="E27" s="2" t="inlineStr">
        <is>
          <t>https://www.ozon.ru/product/4409233236</t>
        </is>
      </c>
      <c r="F27" s="2" t="n">
        <v>4.409233236E9</v>
      </c>
      <c r="G27" s="2" t="inlineStr">
        <is>
          <t>Biorepair</t>
        </is>
      </c>
      <c r="H27" s="3" t="inlineStr">
        <is>
          <t>牙膏
Зубная паста</t>
        </is>
      </c>
      <c r="I27" s="3" t="inlineStr">
        <is>
          <t>跨境卖家可售</t>
        </is>
      </c>
      <c r="J27" s="2" t="inlineStr">
        <is>
          <t>730₽</t>
        </is>
      </c>
      <c r="K27" s="2" t="n">
        <v>1055.0</v>
      </c>
      <c r="L27" s="2" t="inlineStr">
        <is>
          <t>770150₽</t>
        </is>
      </c>
      <c r="M27" s="2" t="inlineStr">
        <is>
          <t>100%</t>
        </is>
      </c>
      <c r="N27" s="2" t="inlineStr">
        <is>
          <t>100%</t>
        </is>
      </c>
      <c r="O27" s="2" t="inlineStr">
        <is>
          <t>54.9%</t>
        </is>
      </c>
      <c r="P27" s="2" t="n">
        <v>119672.0</v>
      </c>
      <c r="Q27" s="2" t="n">
        <v>10662.0</v>
      </c>
      <c r="R27" s="2" t="n">
        <v>13772.0</v>
      </c>
      <c r="S27" s="2" t="inlineStr">
        <is>
          <t>13.14%</t>
        </is>
      </c>
      <c r="T27" s="2" t="inlineStr">
        <is>
          <t>58.3%</t>
        </is>
      </c>
      <c r="U27" s="2" t="inlineStr">
        <is>
          <t>12.97%</t>
        </is>
      </c>
      <c r="V27" s="2"/>
      <c r="W27" s="2" t="inlineStr">
        <is>
          <t>0₽</t>
        </is>
      </c>
      <c r="X27" s="2" t="n">
        <v>8.0</v>
      </c>
      <c r="Y27" s="2" t="n">
        <v>4783.0</v>
      </c>
      <c r="Z27" s="2" t="inlineStr">
        <is>
          <t>4.8</t>
        </is>
      </c>
      <c r="AA27" s="3" t="inlineStr">
        <is>
          <t>2026-05-23
&lt; 1 个月</t>
        </is>
      </c>
      <c r="AB27" s="2" t="inlineStr">
        <is>
          <t>260 g</t>
        </is>
      </c>
      <c r="AC27" s="2" t="inlineStr">
        <is>
          <t>0.952 L</t>
        </is>
      </c>
      <c r="AD27" s="2" t="inlineStr">
        <is>
          <t>mmw</t>
        </is>
      </c>
      <c r="AE27" s="2" t="inlineStr">
        <is>
          <t>跨境卖家</t>
        </is>
      </c>
      <c r="AF27" s="2" t="inlineStr">
        <is>
          <t>RFBS</t>
        </is>
      </c>
      <c r="AG27" s="2" t="n">
        <v>43.0</v>
      </c>
    </row>
    <row r="28" customHeight="true" ht="64.0">
      <c r="A28" s="2" t="n">
        <v>27.0</v>
      </c>
      <c r="B28" s="2" t="inlineStr">
        <is>
          <t>https://ir.ozone.ru/s3/multimedia-1-e/wc300/10884473546.jpg</t>
        </is>
      </c>
      <c r="C28" s="2" t="n">
        <f>IF(ISERROR(IMAGE("https://ir.ozone.ru/s3/multimedia-1-e/wc300/10884473546.jpg")),"请使用新版Excel2024查看图片",IMAGE("https://ir.ozone.ru/s3/multimedia-1-e/wc300/10884473546.jpg"))</f>
        <v>0.0</v>
      </c>
      <c r="D28" s="2" t="inlineStr">
        <is>
          <t>Электровелосипед 250Вт 10000mAh белый</t>
        </is>
      </c>
      <c r="E28" s="2" t="inlineStr">
        <is>
          <t>https://www.ozon.ru/product/4422762656</t>
        </is>
      </c>
      <c r="F28" s="2" t="n">
        <v>4.422762656E9</v>
      </c>
      <c r="G28" s="2" t="inlineStr">
        <is>
          <t/>
        </is>
      </c>
      <c r="H28" s="3" t="inlineStr">
        <is>
          <t>电动自行车
Электровелосипед</t>
        </is>
      </c>
      <c r="I28" s="3" t="inlineStr">
        <is>
          <t>跨境卖家可售</t>
        </is>
      </c>
      <c r="J28" s="2" t="inlineStr">
        <is>
          <t>19525₽</t>
        </is>
      </c>
      <c r="K28" s="2" t="n">
        <v>39.0</v>
      </c>
      <c r="L28" s="2" t="inlineStr">
        <is>
          <t>761475₽</t>
        </is>
      </c>
      <c r="M28" s="2" t="inlineStr">
        <is>
          <t>100%</t>
        </is>
      </c>
      <c r="N28" s="2" t="inlineStr">
        <is>
          <t>100%</t>
        </is>
      </c>
      <c r="O28" s="2" t="inlineStr">
        <is>
          <t/>
        </is>
      </c>
      <c r="P28" s="2" t="n">
        <v>56622.0</v>
      </c>
      <c r="Q28" s="2" t="n">
        <v>27804.0</v>
      </c>
      <c r="R28" s="2" t="n">
        <v>8670.0</v>
      </c>
      <c r="S28" s="2" t="inlineStr">
        <is>
          <t>6.07%</t>
        </is>
      </c>
      <c r="T28" s="2" t="inlineStr">
        <is>
          <t>7.4%</t>
        </is>
      </c>
      <c r="U28" s="2" t="inlineStr">
        <is>
          <t>8.84%</t>
        </is>
      </c>
      <c r="V28" s="2"/>
      <c r="W28" s="2" t="inlineStr">
        <is>
          <t>0₽</t>
        </is>
      </c>
      <c r="X28" s="2" t="n">
        <v>1.0</v>
      </c>
      <c r="Y28" s="2"/>
      <c r="Z28" s="2"/>
      <c r="AA28" s="3" t="inlineStr">
        <is>
          <t>2026-05-24
&lt; 1 个月</t>
        </is>
      </c>
      <c r="AB28" s="2" t="inlineStr">
        <is>
          <t/>
        </is>
      </c>
      <c r="AC28" s="2" t="inlineStr">
        <is>
          <t/>
        </is>
      </c>
      <c r="AD28" s="2" t="inlineStr">
        <is>
          <t>HeYiXin Select</t>
        </is>
      </c>
      <c r="AE28" s="2" t="inlineStr">
        <is>
          <t>跨境卖家</t>
        </is>
      </c>
      <c r="AF28" s="2" t="inlineStr">
        <is>
          <t>RFBS</t>
        </is>
      </c>
      <c r="AG28" s="2" t="n">
        <v>0.0</v>
      </c>
    </row>
    <row r="29" customHeight="true" ht="64.0">
      <c r="A29" s="2" t="n">
        <v>28.0</v>
      </c>
      <c r="B29" s="2" t="inlineStr">
        <is>
          <t>https://ir.ozone.ru/s3/multimedia-1-v/wc300/10372295371.jpg</t>
        </is>
      </c>
      <c r="C29" s="2" t="n">
        <f>IF(ISERROR(IMAGE("https://ir.ozone.ru/s3/multimedia-1-v/wc300/10372295371.jpg")),"请使用新版Excel2024查看图片",IMAGE("https://ir.ozone.ru/s3/multimedia-1-v/wc300/10372295371.jpg"))</f>
        <v>0.0</v>
      </c>
      <c r="D29" s="2" t="inlineStr">
        <is>
          <t>Велосипед диаметром 26 дюймов</t>
        </is>
      </c>
      <c r="E29" s="2" t="inlineStr">
        <is>
          <t>https://www.ozon.ru/product/4372669287</t>
        </is>
      </c>
      <c r="F29" s="2" t="n">
        <v>4.372669287E9</v>
      </c>
      <c r="G29" s="2" t="inlineStr">
        <is>
          <t/>
        </is>
      </c>
      <c r="H29" s="3" t="inlineStr">
        <is>
          <t>电动自行车
Электровелосипед</t>
        </is>
      </c>
      <c r="I29" s="3" t="inlineStr">
        <is>
          <t>跨境卖家可售</t>
        </is>
      </c>
      <c r="J29" s="2" t="inlineStr">
        <is>
          <t>30385₽</t>
        </is>
      </c>
      <c r="K29" s="2" t="n">
        <v>25.0</v>
      </c>
      <c r="L29" s="2" t="inlineStr">
        <is>
          <t>759625₽</t>
        </is>
      </c>
      <c r="M29" s="2" t="inlineStr">
        <is>
          <t>100%</t>
        </is>
      </c>
      <c r="N29" s="2" t="inlineStr">
        <is>
          <t>100%</t>
        </is>
      </c>
      <c r="O29" s="2" t="inlineStr">
        <is>
          <t>53.3%</t>
        </is>
      </c>
      <c r="P29" s="2" t="n">
        <v>125103.0</v>
      </c>
      <c r="Q29" s="2" t="n">
        <v>77567.0</v>
      </c>
      <c r="R29" s="2" t="n">
        <v>12158.0</v>
      </c>
      <c r="S29" s="2" t="inlineStr">
        <is>
          <t>5.74%</t>
        </is>
      </c>
      <c r="T29" s="2" t="inlineStr">
        <is>
          <t>3.6%</t>
        </is>
      </c>
      <c r="U29" s="2" t="inlineStr">
        <is>
          <t>7.39%</t>
        </is>
      </c>
      <c r="V29" s="2"/>
      <c r="W29" s="2" t="inlineStr">
        <is>
          <t>0₽</t>
        </is>
      </c>
      <c r="X29" s="2" t="n">
        <v>1.0</v>
      </c>
      <c r="Y29" s="2"/>
      <c r="Z29" s="2"/>
      <c r="AA29" s="3" t="inlineStr">
        <is>
          <t>2026-05-20
&lt; 1 个月</t>
        </is>
      </c>
      <c r="AB29" s="2" t="inlineStr">
        <is>
          <t>28000 g</t>
        </is>
      </c>
      <c r="AC29" s="2" t="inlineStr">
        <is>
          <t>235.2 L</t>
        </is>
      </c>
      <c r="AD29" s="2" t="inlineStr">
        <is>
          <t>Ranpang</t>
        </is>
      </c>
      <c r="AE29" s="2" t="inlineStr">
        <is>
          <t>跨境卖家</t>
        </is>
      </c>
      <c r="AF29" s="2" t="inlineStr">
        <is>
          <t>RFBS</t>
        </is>
      </c>
      <c r="AG29" s="2" t="n">
        <v>0.0</v>
      </c>
    </row>
    <row r="30" customHeight="true" ht="64.0">
      <c r="A30" s="2" t="n">
        <v>29.0</v>
      </c>
      <c r="B30" s="2" t="inlineStr">
        <is>
          <t>https://ir.ozone.ru/s3/multimedia-1-i/wc300/10811047158.jpg</t>
        </is>
      </c>
      <c r="C30" s="2" t="n">
        <f>IF(ISERROR(IMAGE("https://ir.ozone.ru/s3/multimedia-1-i/wc300/10811047158.jpg")),"请使用新版Excel2024查看图片",IMAGE("https://ir.ozone.ru/s3/multimedia-1-i/wc300/10811047158.jpg"))</f>
        <v>0.0</v>
      </c>
      <c r="D30" s="2" t="inlineStr">
        <is>
          <t>Саундбар для телевизора Samsung HW-Q990F, 11.1.4 с сабвуфером и тыловыми колонками, Atmos, Game Mode, Автокалибровка</t>
        </is>
      </c>
      <c r="E30" s="2" t="inlineStr">
        <is>
          <t>https://www.ozon.ru/product/4446051729</t>
        </is>
      </c>
      <c r="F30" s="2" t="n">
        <v>4.446051729E9</v>
      </c>
      <c r="G30" s="2" t="inlineStr">
        <is>
          <t/>
        </is>
      </c>
      <c r="H30" s="3" t="inlineStr">
        <is>
          <t>回音壁
Саундбар</t>
        </is>
      </c>
      <c r="I30" s="3" t="inlineStr">
        <is>
          <t>跨境卖家可售</t>
        </is>
      </c>
      <c r="J30" s="2" t="inlineStr">
        <is>
          <t>64782₽</t>
        </is>
      </c>
      <c r="K30" s="2" t="n">
        <v>11.0</v>
      </c>
      <c r="L30" s="2" t="inlineStr">
        <is>
          <t>756833₽</t>
        </is>
      </c>
      <c r="M30" s="2" t="inlineStr">
        <is>
          <t>100%</t>
        </is>
      </c>
      <c r="N30" s="2" t="inlineStr">
        <is>
          <t>100%</t>
        </is>
      </c>
      <c r="O30" s="2" t="inlineStr">
        <is>
          <t/>
        </is>
      </c>
      <c r="P30" s="2" t="n">
        <v>1381.0</v>
      </c>
      <c r="Q30" s="2" t="n">
        <v>334.0</v>
      </c>
      <c r="R30" s="2" t="n">
        <v>463.0</v>
      </c>
      <c r="S30" s="2" t="inlineStr">
        <is>
          <t>6.91%</t>
        </is>
      </c>
      <c r="T30" s="2" t="inlineStr">
        <is>
          <t>34.4%</t>
        </is>
      </c>
      <c r="U30" s="2" t="inlineStr">
        <is>
          <t>0.0%</t>
        </is>
      </c>
      <c r="V30" s="2"/>
      <c r="W30" s="2" t="inlineStr">
        <is>
          <t>0₽</t>
        </is>
      </c>
      <c r="X30" s="2" t="n">
        <v>1.0</v>
      </c>
      <c r="Y30" s="2"/>
      <c r="Z30" s="2"/>
      <c r="AA30" s="3" t="inlineStr">
        <is>
          <t>2026-05-26
&lt; 1 个月</t>
        </is>
      </c>
      <c r="AB30" s="2" t="inlineStr">
        <is>
          <t/>
        </is>
      </c>
      <c r="AC30" s="2" t="inlineStr">
        <is>
          <t/>
        </is>
      </c>
      <c r="AD30" s="2" t="inlineStr">
        <is>
          <t>huizhou2</t>
        </is>
      </c>
      <c r="AE30" s="2" t="inlineStr">
        <is>
          <t>跨境卖家</t>
        </is>
      </c>
      <c r="AF30" s="2" t="inlineStr">
        <is>
          <t>RFBS</t>
        </is>
      </c>
      <c r="AG30" s="2" t="n">
        <v>0.0</v>
      </c>
    </row>
    <row r="31" customHeight="true" ht="64.0">
      <c r="A31" s="2" t="n">
        <v>30.0</v>
      </c>
      <c r="B31" s="2" t="inlineStr">
        <is>
          <t>https://ir.ozone.ru/s3/multimedia-1-0/wc300/10561192632.jpg</t>
        </is>
      </c>
      <c r="C31" s="2" t="n">
        <f>IF(ISERROR(IMAGE("https://ir.ozone.ru/s3/multimedia-1-0/wc300/10561192632.jpg")),"请使用新版Excel2024查看图片",IMAGE("https://ir.ozone.ru/s3/multimedia-1-0/wc300/10561192632.jpg"))</f>
        <v>0.0</v>
      </c>
      <c r="D31" s="2" t="inlineStr">
        <is>
          <t>MICHELIN PILOT SPORT 5 Шины летние 245/40  R19 98Y</t>
        </is>
      </c>
      <c r="E31" s="2" t="inlineStr">
        <is>
          <t>https://www.ozon.ru/product/4387424123</t>
        </is>
      </c>
      <c r="F31" s="2" t="n">
        <v>4.387424123E9</v>
      </c>
      <c r="G31" s="2" t="inlineStr">
        <is>
          <t>MICHELIN</t>
        </is>
      </c>
      <c r="H31" s="3" t="inlineStr">
        <is>
          <t>乘用车轮胎
Шины для легковых автомобилей</t>
        </is>
      </c>
      <c r="I31" s="3" t="inlineStr">
        <is>
          <t>跨境卖家可售</t>
        </is>
      </c>
      <c r="J31" s="2" t="inlineStr">
        <is>
          <t>62850₽</t>
        </is>
      </c>
      <c r="K31" s="2" t="n">
        <v>12.0</v>
      </c>
      <c r="L31" s="2" t="inlineStr">
        <is>
          <t>754200₽</t>
        </is>
      </c>
      <c r="M31" s="2" t="inlineStr">
        <is>
          <t>100%</t>
        </is>
      </c>
      <c r="N31" s="2" t="inlineStr">
        <is>
          <t>100%</t>
        </is>
      </c>
      <c r="O31" s="2" t="inlineStr">
        <is>
          <t>58.7%</t>
        </is>
      </c>
      <c r="P31" s="2" t="n">
        <v>5964.0</v>
      </c>
      <c r="Q31" s="2" t="n">
        <v>3107.0</v>
      </c>
      <c r="R31" s="2" t="n">
        <v>194.0</v>
      </c>
      <c r="S31" s="2" t="inlineStr">
        <is>
          <t>7.73%</t>
        </is>
      </c>
      <c r="T31" s="2" t="inlineStr">
        <is>
          <t>80.0%</t>
        </is>
      </c>
      <c r="U31" s="2" t="inlineStr">
        <is>
          <t>0.0%</t>
        </is>
      </c>
      <c r="V31" s="2"/>
      <c r="W31" s="2" t="inlineStr">
        <is>
          <t>0₽</t>
        </is>
      </c>
      <c r="X31" s="2" t="n">
        <v>1.0</v>
      </c>
      <c r="Y31" s="2"/>
      <c r="Z31" s="2"/>
      <c r="AA31" s="3" t="inlineStr">
        <is>
          <t>2026-05-21
&lt; 1 个月</t>
        </is>
      </c>
      <c r="AB31" s="2" t="inlineStr">
        <is>
          <t>12600 g</t>
        </is>
      </c>
      <c r="AC31" s="2" t="inlineStr">
        <is>
          <t>160 L</t>
        </is>
      </c>
      <c r="AD31" s="2" t="inlineStr">
        <is>
          <t>DB like</t>
        </is>
      </c>
      <c r="AE31" s="2" t="inlineStr">
        <is>
          <t>跨境卖家</t>
        </is>
      </c>
      <c r="AF31" s="2" t="inlineStr">
        <is>
          <t>RFBS</t>
        </is>
      </c>
      <c r="AG31" s="2" t="n">
        <v>0.0</v>
      </c>
    </row>
    <row r="32" customHeight="true" ht="64.0">
      <c r="A32" s="2" t="n">
        <v>31.0</v>
      </c>
      <c r="B32" s="2" t="inlineStr">
        <is>
          <t>https://ir.ozone.ru/s3/multimedia-1-4/wc300/7157128756.jpg</t>
        </is>
      </c>
      <c r="C32" s="2" t="n">
        <f>IF(ISERROR(IMAGE("https://ir.ozone.ru/s3/multimedia-1-4/wc300/7157128756.jpg")),"请使用新版Excel2024查看图片",IMAGE("https://ir.ozone.ru/s3/multimedia-1-4/wc300/7157128756.jpg"))</f>
        <v>0.0</v>
      </c>
      <c r="D32" s="2" t="inlineStr">
        <is>
          <t>Apple Наушники беспроводные с микрофоном Apple AirPods Pro 2, Bluetooth, USB Type-C, слоновая кость</t>
        </is>
      </c>
      <c r="E32" s="2" t="inlineStr">
        <is>
          <t>https://www.ozon.ru/product/4437075604</t>
        </is>
      </c>
      <c r="F32" s="2" t="n">
        <v>4.437075604E9</v>
      </c>
      <c r="G32" s="2" t="inlineStr">
        <is>
          <t>Apple</t>
        </is>
      </c>
      <c r="H32" s="3" t="inlineStr">
        <is>
          <t>耳机
Наушники</t>
        </is>
      </c>
      <c r="I32" s="3" t="inlineStr">
        <is>
          <t>跨境卖家可售</t>
        </is>
      </c>
      <c r="J32" s="2" t="inlineStr">
        <is>
          <t>39634₽</t>
        </is>
      </c>
      <c r="K32" s="2" t="n">
        <v>21.0</v>
      </c>
      <c r="L32" s="2" t="inlineStr">
        <is>
          <t>737964₽</t>
        </is>
      </c>
      <c r="M32" s="2" t="inlineStr">
        <is>
          <t>100%</t>
        </is>
      </c>
      <c r="N32" s="2" t="inlineStr">
        <is>
          <t>100%</t>
        </is>
      </c>
      <c r="O32" s="2" t="inlineStr">
        <is>
          <t>48.5%</t>
        </is>
      </c>
      <c r="P32" s="2" t="n">
        <v>3887.0</v>
      </c>
      <c r="Q32" s="2" t="n">
        <v>312.0</v>
      </c>
      <c r="R32" s="2" t="n">
        <v>825.0</v>
      </c>
      <c r="S32" s="2" t="inlineStr">
        <is>
          <t>8.36%</t>
        </is>
      </c>
      <c r="T32" s="2" t="inlineStr">
        <is>
          <t>30.4%</t>
        </is>
      </c>
      <c r="U32" s="2" t="inlineStr">
        <is>
          <t>0.51%</t>
        </is>
      </c>
      <c r="V32" s="2"/>
      <c r="W32" s="2" t="inlineStr">
        <is>
          <t>0₽</t>
        </is>
      </c>
      <c r="X32" s="2" t="n">
        <v>1.0</v>
      </c>
      <c r="Y32" s="2"/>
      <c r="Z32" s="2" t="inlineStr">
        <is>
          <t>5.0</t>
        </is>
      </c>
      <c r="AA32" s="3" t="inlineStr">
        <is>
          <t>2026-05-25
&lt; 1 个月</t>
        </is>
      </c>
      <c r="AB32" s="2" t="inlineStr">
        <is>
          <t>500 g</t>
        </is>
      </c>
      <c r="AC32" s="2" t="inlineStr">
        <is>
          <t>6 L</t>
        </is>
      </c>
      <c r="AD32" s="2" t="inlineStr">
        <is>
          <t>marketsell</t>
        </is>
      </c>
      <c r="AE32" s="2" t="inlineStr">
        <is>
          <t>跨境卖家</t>
        </is>
      </c>
      <c r="AF32" s="2" t="inlineStr">
        <is>
          <t>RFBS</t>
        </is>
      </c>
      <c r="AG32" s="2" t="n">
        <v>0.0</v>
      </c>
    </row>
    <row r="33" customHeight="true" ht="64.0">
      <c r="A33" s="2" t="n">
        <v>32.0</v>
      </c>
      <c r="B33" s="2" t="inlineStr">
        <is>
          <t>https://ir.ozone.ru/s3/multimedia-1-i/wc300/10647316314.jpg</t>
        </is>
      </c>
      <c r="C33" s="2" t="n">
        <f>IF(ISERROR(IMAGE("https://ir.ozone.ru/s3/multimedia-1-i/wc300/10647316314.jpg")),"请使用新版Excel2024查看图片",IMAGE("https://ir.ozone.ru/s3/multimedia-1-i/wc300/10647316314.jpg"))</f>
        <v>0.0</v>
      </c>
      <c r="D33" s="2" t="inlineStr">
        <is>
          <t>SUP-доска86 см</t>
        </is>
      </c>
      <c r="E33" s="2" t="inlineStr">
        <is>
          <t>https://www.ozon.ru/product/4384239955</t>
        </is>
      </c>
      <c r="F33" s="2" t="n">
        <v>4.384239955E9</v>
      </c>
      <c r="G33" s="2" t="inlineStr">
        <is>
          <t/>
        </is>
      </c>
      <c r="H33" s="3" t="inlineStr">
        <is>
          <t>SUP桨板
SUP-доска</t>
        </is>
      </c>
      <c r="I33" s="3" t="inlineStr">
        <is>
          <t>跨境卖家可售</t>
        </is>
      </c>
      <c r="J33" s="2" t="inlineStr">
        <is>
          <t>8534₽</t>
        </is>
      </c>
      <c r="K33" s="2" t="n">
        <v>86.0</v>
      </c>
      <c r="L33" s="2" t="inlineStr">
        <is>
          <t>728430₽</t>
        </is>
      </c>
      <c r="M33" s="2" t="inlineStr">
        <is>
          <t>100%</t>
        </is>
      </c>
      <c r="N33" s="2" t="inlineStr">
        <is>
          <t>100%</t>
        </is>
      </c>
      <c r="O33" s="2" t="inlineStr">
        <is>
          <t>51%</t>
        </is>
      </c>
      <c r="P33" s="2" t="n">
        <v>18684.0</v>
      </c>
      <c r="Q33" s="2" t="n">
        <v>1282.0</v>
      </c>
      <c r="R33" s="2" t="n">
        <v>8290.0</v>
      </c>
      <c r="S33" s="2" t="inlineStr">
        <is>
          <t>16.53%</t>
        </is>
      </c>
      <c r="T33" s="2" t="inlineStr">
        <is>
          <t>6.3%</t>
        </is>
      </c>
      <c r="U33" s="2" t="inlineStr">
        <is>
          <t>0.12%</t>
        </is>
      </c>
      <c r="V33" s="2"/>
      <c r="W33" s="2" t="inlineStr">
        <is>
          <t>0₽</t>
        </is>
      </c>
      <c r="X33" s="2" t="n">
        <v>1.0</v>
      </c>
      <c r="Y33" s="2"/>
      <c r="Z33" s="2"/>
      <c r="AA33" s="3" t="inlineStr">
        <is>
          <t>2026-05-21
&lt; 1 个月</t>
        </is>
      </c>
      <c r="AB33" s="2" t="inlineStr">
        <is>
          <t>13500 g</t>
        </is>
      </c>
      <c r="AC33" s="2" t="inlineStr">
        <is>
          <t>116.064 L</t>
        </is>
      </c>
      <c r="AD33" s="2" t="inlineStr">
        <is>
          <t>chenjun</t>
        </is>
      </c>
      <c r="AE33" s="2" t="inlineStr">
        <is>
          <t>跨境卖家</t>
        </is>
      </c>
      <c r="AF33" s="2" t="inlineStr">
        <is>
          <t>RFBS</t>
        </is>
      </c>
      <c r="AG33" s="2" t="n">
        <v>3.0</v>
      </c>
    </row>
    <row r="34" customHeight="true" ht="64.0">
      <c r="A34" s="2" t="n">
        <v>33.0</v>
      </c>
      <c r="B34" s="2" t="inlineStr">
        <is>
          <t>https://ir.ozone.ru/s3/multimedia-1-p/wc300/10966280497.jpg</t>
        </is>
      </c>
      <c r="C34" s="2" t="n">
        <f>IF(ISERROR(IMAGE("https://ir.ozone.ru/s3/multimedia-1-p/wc300/10966280497.jpg")),"请使用新版Excel2024查看图片",IMAGE("https://ir.ozone.ru/s3/multimedia-1-p/wc300/10966280497.jpg"))</f>
        <v>0.0</v>
      </c>
      <c r="D34" s="2" t="inlineStr">
        <is>
          <t>Игра 007 First Light PS5 (PlayStation 5, Русские субтитры) (PlayStation 5, Русская версия)</t>
        </is>
      </c>
      <c r="E34" s="2" t="inlineStr">
        <is>
          <t>https://www.ozon.ru/product/4483797349</t>
        </is>
      </c>
      <c r="F34" s="2" t="n">
        <v>4.483797349E9</v>
      </c>
      <c r="G34" s="2" t="inlineStr">
        <is>
          <t>IO Interactive</t>
        </is>
      </c>
      <c r="H34" s="3" t="inlineStr">
        <is>
          <t>电子游戏
Видеоигра</t>
        </is>
      </c>
      <c r="I34" s="3" t="inlineStr">
        <is>
          <t>跨境卖家可售</t>
        </is>
      </c>
      <c r="J34" s="2" t="inlineStr">
        <is>
          <t>5333₽</t>
        </is>
      </c>
      <c r="K34" s="2" t="n">
        <v>135.0</v>
      </c>
      <c r="L34" s="2" t="inlineStr">
        <is>
          <t>723643₽</t>
        </is>
      </c>
      <c r="M34" s="2" t="inlineStr">
        <is>
          <t>100%</t>
        </is>
      </c>
      <c r="N34" s="2" t="inlineStr">
        <is>
          <t>100%</t>
        </is>
      </c>
      <c r="O34" s="2" t="inlineStr">
        <is>
          <t>52.5%</t>
        </is>
      </c>
      <c r="P34" s="2" t="n">
        <v>17211.0</v>
      </c>
      <c r="Q34" s="2" t="n">
        <v>4941.0</v>
      </c>
      <c r="R34" s="2" t="n">
        <v>3234.0</v>
      </c>
      <c r="S34" s="2" t="inlineStr">
        <is>
          <t>8.31%</t>
        </is>
      </c>
      <c r="T34" s="2" t="inlineStr">
        <is>
          <t>50.2%</t>
        </is>
      </c>
      <c r="U34" s="2" t="inlineStr">
        <is>
          <t>0.0%</t>
        </is>
      </c>
      <c r="V34" s="2"/>
      <c r="W34" s="2" t="inlineStr">
        <is>
          <t>0₽</t>
        </is>
      </c>
      <c r="X34" s="2" t="n">
        <v>1.0</v>
      </c>
      <c r="Y34" s="2" t="n">
        <v>6.0</v>
      </c>
      <c r="Z34" s="2" t="inlineStr">
        <is>
          <t>5.0</t>
        </is>
      </c>
      <c r="AA34" s="3" t="inlineStr">
        <is>
          <t>2026-05-28
&lt; 1 个月</t>
        </is>
      </c>
      <c r="AB34" s="2" t="inlineStr">
        <is>
          <t>180 g</t>
        </is>
      </c>
      <c r="AC34" s="2" t="inlineStr">
        <is>
          <t>0.9 L</t>
        </is>
      </c>
      <c r="AD34" s="2" t="inlineStr">
        <is>
          <t>GamePeople</t>
        </is>
      </c>
      <c r="AE34" s="2" t="inlineStr">
        <is>
          <t>跨境卖家</t>
        </is>
      </c>
      <c r="AF34" s="2" t="inlineStr">
        <is>
          <t>RFBS</t>
        </is>
      </c>
      <c r="AG34" s="2" t="n">
        <v>0.0</v>
      </c>
    </row>
    <row r="35" customHeight="true" ht="64.0">
      <c r="A35" s="2" t="n">
        <v>34.0</v>
      </c>
      <c r="B35" s="2" t="inlineStr">
        <is>
          <t>https://ir.ozone.ru/s3/multimedia-1-v/wc300/10658859727.jpg</t>
        </is>
      </c>
      <c r="C35" s="2" t="n">
        <f>IF(ISERROR(IMAGE("https://ir.ozone.ru/s3/multimedia-1-v/wc300/10658859727.jpg")),"请使用新版Excel2024查看图片",IMAGE("https://ir.ozone.ru/s3/multimedia-1-v/wc300/10658859727.jpg"))</f>
        <v>0.0</v>
      </c>
      <c r="D35" s="2" t="inlineStr">
        <is>
          <t>Настольная игра Pokemon TCG: Chaos Rising - бустер бокс</t>
        </is>
      </c>
      <c r="E35" s="2" t="inlineStr">
        <is>
          <t>https://www.ozon.ru/product/4388468687</t>
        </is>
      </c>
      <c r="F35" s="2" t="n">
        <v>4.388468687E9</v>
      </c>
      <c r="G35" s="2" t="inlineStr">
        <is>
          <t>Pokemon</t>
        </is>
      </c>
      <c r="H35" s="3" t="inlineStr">
        <is>
          <t>桌面游戏
Настольная игра</t>
        </is>
      </c>
      <c r="I35" s="3" t="inlineStr">
        <is>
          <t>跨境卖家可售</t>
        </is>
      </c>
      <c r="J35" s="2" t="inlineStr">
        <is>
          <t>20291₽</t>
        </is>
      </c>
      <c r="K35" s="2" t="n">
        <v>36.0</v>
      </c>
      <c r="L35" s="2" t="inlineStr">
        <is>
          <t>723154₽</t>
        </is>
      </c>
      <c r="M35" s="2" t="inlineStr">
        <is>
          <t>100%</t>
        </is>
      </c>
      <c r="N35" s="2" t="inlineStr">
        <is>
          <t>100%</t>
        </is>
      </c>
      <c r="O35" s="2" t="inlineStr">
        <is>
          <t>52%</t>
        </is>
      </c>
      <c r="P35" s="2" t="n">
        <v>5462.0</v>
      </c>
      <c r="Q35" s="2" t="n">
        <v>585.0</v>
      </c>
      <c r="R35" s="2" t="n">
        <v>1276.0</v>
      </c>
      <c r="S35" s="2" t="inlineStr">
        <is>
          <t>3.52%</t>
        </is>
      </c>
      <c r="T35" s="2" t="inlineStr">
        <is>
          <t>80.0%</t>
        </is>
      </c>
      <c r="U35" s="2" t="inlineStr">
        <is>
          <t>0.02%</t>
        </is>
      </c>
      <c r="V35" s="2"/>
      <c r="W35" s="2" t="inlineStr">
        <is>
          <t>0₽</t>
        </is>
      </c>
      <c r="X35" s="2" t="n">
        <v>6.0</v>
      </c>
      <c r="Y35" s="2"/>
      <c r="Z35" s="2"/>
      <c r="AA35" s="3" t="inlineStr">
        <is>
          <t>2026-05-21
&lt; 1 个月</t>
        </is>
      </c>
      <c r="AB35" s="2" t="inlineStr">
        <is>
          <t>850 g</t>
        </is>
      </c>
      <c r="AC35" s="2" t="inlineStr">
        <is>
          <t>32 L</t>
        </is>
      </c>
      <c r="AD35" s="2" t="inlineStr">
        <is>
          <t>Toys360</t>
        </is>
      </c>
      <c r="AE35" s="2" t="inlineStr">
        <is>
          <t>跨境卖家</t>
        </is>
      </c>
      <c r="AF35" s="2" t="inlineStr">
        <is>
          <t>RFBS</t>
        </is>
      </c>
      <c r="AG35" s="2" t="n">
        <v>60.0</v>
      </c>
    </row>
    <row r="36" customHeight="true" ht="64.0">
      <c r="A36" s="2" t="n">
        <v>35.0</v>
      </c>
      <c r="B36" s="2" t="inlineStr">
        <is>
          <t>https://ir.ozone.ru/s3/multimedia-1-3/wc300/10684603299.jpg</t>
        </is>
      </c>
      <c r="C36" s="2" t="n">
        <f>IF(ISERROR(IMAGE("https://ir.ozone.ru/s3/multimedia-1-3/wc300/10684603299.jpg")),"请使用新版Excel2024查看图片",IMAGE("https://ir.ozone.ru/s3/multimedia-1-3/wc300/10684603299.jpg"))</f>
        <v>0.0</v>
      </c>
      <c r="D36" s="2" t="inlineStr">
        <is>
          <t>Sony Смартфон Sony Xperia1 VIII 12+512GB lolite Silver XQ-GE74 Global 12/512 ГБ, Nano-SIM, серебристый</t>
        </is>
      </c>
      <c r="E36" s="2" t="inlineStr">
        <is>
          <t>https://www.ozon.ru/product/4374725226</t>
        </is>
      </c>
      <c r="F36" s="2" t="n">
        <v>4.374725226E9</v>
      </c>
      <c r="G36" s="2" t="inlineStr">
        <is>
          <t>Sony</t>
        </is>
      </c>
      <c r="H36" s="3" t="inlineStr">
        <is>
          <t>智能手机
Смартфон</t>
        </is>
      </c>
      <c r="I36" s="3" t="inlineStr">
        <is>
          <t>跨境卖家可售</t>
        </is>
      </c>
      <c r="J36" s="2" t="inlineStr">
        <is>
          <t>108676₽</t>
        </is>
      </c>
      <c r="K36" s="2" t="n">
        <v>7.0</v>
      </c>
      <c r="L36" s="2" t="inlineStr">
        <is>
          <t>711340₽</t>
        </is>
      </c>
      <c r="M36" s="2" t="inlineStr">
        <is>
          <t>100%</t>
        </is>
      </c>
      <c r="N36" s="2" t="inlineStr">
        <is>
          <t>100%</t>
        </is>
      </c>
      <c r="O36" s="2" t="inlineStr">
        <is>
          <t>57.3%</t>
        </is>
      </c>
      <c r="P36" s="2" t="n">
        <v>8707.0</v>
      </c>
      <c r="Q36" s="2" t="n">
        <v>1253.0</v>
      </c>
      <c r="R36" s="2" t="n">
        <v>2592.0</v>
      </c>
      <c r="S36" s="2" t="inlineStr">
        <is>
          <t>2.97%</t>
        </is>
      </c>
      <c r="T36" s="2" t="inlineStr">
        <is>
          <t>9.1%</t>
        </is>
      </c>
      <c r="U36" s="2" t="inlineStr">
        <is>
          <t>0.18%</t>
        </is>
      </c>
      <c r="V36" s="2"/>
      <c r="W36" s="2" t="inlineStr">
        <is>
          <t>0₽</t>
        </is>
      </c>
      <c r="X36" s="2" t="n">
        <v>8.0</v>
      </c>
      <c r="Y36" s="2" t="n">
        <v>7.0</v>
      </c>
      <c r="Z36" s="2" t="inlineStr">
        <is>
          <t>5.0</t>
        </is>
      </c>
      <c r="AA36" s="3" t="inlineStr">
        <is>
          <t>2026-05-20
&lt; 1 个月</t>
        </is>
      </c>
      <c r="AB36" s="2" t="inlineStr">
        <is>
          <t>280 g</t>
        </is>
      </c>
      <c r="AC36" s="2" t="inlineStr">
        <is>
          <t>0.122 L</t>
        </is>
      </c>
      <c r="AD36" s="2" t="inlineStr">
        <is>
          <t>MOS Premium Store</t>
        </is>
      </c>
      <c r="AE36" s="2" t="inlineStr">
        <is>
          <t>跨境卖家</t>
        </is>
      </c>
      <c r="AF36" s="2" t="inlineStr">
        <is>
          <t>RFBS</t>
        </is>
      </c>
      <c r="AG36" s="2" t="n">
        <v>24.0</v>
      </c>
    </row>
    <row r="37" customHeight="true" ht="64.0">
      <c r="A37" s="2" t="n">
        <v>36.0</v>
      </c>
      <c r="B37" s="2" t="inlineStr">
        <is>
          <t>https://ir.ozone.ru/s3/multimedia-1-9/wc300/10554483357.jpg</t>
        </is>
      </c>
      <c r="C37" s="2" t="n">
        <f>IF(ISERROR(IMAGE("https://ir.ozone.ru/s3/multimedia-1-9/wc300/10554483357.jpg")),"请使用新版Excel2024查看图片",IMAGE("https://ir.ozone.ru/s3/multimedia-1-9/wc300/10554483357.jpg"))</f>
        <v>0.0</v>
      </c>
      <c r="D37" s="2" t="inlineStr">
        <is>
          <t>Набор наклеек FIFA WORLD CUP 2026/Чемпионат мира, 50 пак</t>
        </is>
      </c>
      <c r="E37" s="2" t="inlineStr">
        <is>
          <t>https://www.ozon.ru/product/4330743733</t>
        </is>
      </c>
      <c r="F37" s="2" t="n">
        <v>4.330743733E9</v>
      </c>
      <c r="G37" s="2" t="inlineStr">
        <is>
          <t/>
        </is>
      </c>
      <c r="H37" s="3" t="inlineStr">
        <is>
          <t>收藏贴纸
Наклейка коллекционная</t>
        </is>
      </c>
      <c r="I37" s="3" t="inlineStr">
        <is>
          <t>跨境卖家可售</t>
        </is>
      </c>
      <c r="J37" s="2" t="inlineStr">
        <is>
          <t>3145₽</t>
        </is>
      </c>
      <c r="K37" s="2" t="n">
        <v>223.0</v>
      </c>
      <c r="L37" s="2" t="inlineStr">
        <is>
          <t>705858₽</t>
        </is>
      </c>
      <c r="M37" s="2" t="inlineStr">
        <is>
          <t>100%</t>
        </is>
      </c>
      <c r="N37" s="2" t="inlineStr">
        <is>
          <t>100%</t>
        </is>
      </c>
      <c r="O37" s="2" t="inlineStr">
        <is>
          <t>53%</t>
        </is>
      </c>
      <c r="P37" s="2" t="n">
        <v>58033.0</v>
      </c>
      <c r="Q37" s="2" t="n">
        <v>20207.0</v>
      </c>
      <c r="R37" s="2" t="n">
        <v>9506.0</v>
      </c>
      <c r="S37" s="2" t="inlineStr">
        <is>
          <t>6.41%</t>
        </is>
      </c>
      <c r="T37" s="2" t="inlineStr">
        <is>
          <t>36.6%</t>
        </is>
      </c>
      <c r="U37" s="2" t="inlineStr">
        <is>
          <t>0.54%</t>
        </is>
      </c>
      <c r="V37" s="2"/>
      <c r="W37" s="2" t="inlineStr">
        <is>
          <t>0₽</t>
        </is>
      </c>
      <c r="X37" s="2" t="n">
        <v>4.0</v>
      </c>
      <c r="Y37" s="2"/>
      <c r="Z37" s="2"/>
      <c r="AA37" s="3" t="inlineStr">
        <is>
          <t>2026-05-16
&lt; 1 个月</t>
        </is>
      </c>
      <c r="AB37" s="2" t="inlineStr">
        <is>
          <t>520 g</t>
        </is>
      </c>
      <c r="AC37" s="2" t="inlineStr">
        <is>
          <t>9 L</t>
        </is>
      </c>
      <c r="AD37" s="2" t="inlineStr">
        <is>
          <t>ChromaCraft</t>
        </is>
      </c>
      <c r="AE37" s="2" t="inlineStr">
        <is>
          <t>跨境卖家</t>
        </is>
      </c>
      <c r="AF37" s="2" t="inlineStr">
        <is>
          <t>RFBS</t>
        </is>
      </c>
      <c r="AG37" s="2" t="n">
        <v>14.0</v>
      </c>
    </row>
    <row r="38" customHeight="true" ht="64.0">
      <c r="A38" s="2" t="n">
        <v>37.0</v>
      </c>
      <c r="B38" s="2" t="inlineStr">
        <is>
          <t>https://ir.ozone.ru/s3/multimedia-1-g/wc300/10801988944.jpg</t>
        </is>
      </c>
      <c r="C38" s="2" t="n">
        <f>IF(ISERROR(IMAGE("https://ir.ozone.ru/s3/multimedia-1-g/wc300/10801988944.jpg")),"请使用新版Excel2024查看图片",IMAGE("https://ir.ozone.ru/s3/multimedia-1-g/wc300/10801988944.jpg"))</f>
        <v>0.0</v>
      </c>
      <c r="D38" s="2" t="inlineStr">
        <is>
          <t>Mijia Робот-пылесос 6 Max PV11CN Встраиваемая с автоподключением 35000 Па Автоматическая очистка основания, Высота преодолеваемого препятствия 60 мм, Препятствие для панорамного распознавания с помощью трех камер искусственного интеллекта, серый металлик</t>
        </is>
      </c>
      <c r="E38" s="2" t="inlineStr">
        <is>
          <t>https://www.ozon.ru/product/4340121747</t>
        </is>
      </c>
      <c r="F38" s="2" t="n">
        <v>4.340121747E9</v>
      </c>
      <c r="G38" s="2" t="inlineStr">
        <is>
          <t>Mijia</t>
        </is>
      </c>
      <c r="H38" s="3" t="inlineStr">
        <is>
          <t>扫地机器人
Робот-пылесос</t>
        </is>
      </c>
      <c r="I38" s="3" t="inlineStr">
        <is>
          <t>跨境卖家可售</t>
        </is>
      </c>
      <c r="J38" s="2" t="inlineStr">
        <is>
          <t>58458₽</t>
        </is>
      </c>
      <c r="K38" s="2" t="n">
        <v>12.0</v>
      </c>
      <c r="L38" s="2" t="inlineStr">
        <is>
          <t>701496₽</t>
        </is>
      </c>
      <c r="M38" s="2" t="inlineStr">
        <is>
          <t>100%</t>
        </is>
      </c>
      <c r="N38" s="2" t="inlineStr">
        <is>
          <t>100%</t>
        </is>
      </c>
      <c r="O38" s="2" t="inlineStr">
        <is>
          <t>58.7%</t>
        </is>
      </c>
      <c r="P38" s="2" t="n">
        <v>3234.0</v>
      </c>
      <c r="Q38" s="2" t="n">
        <v>527.0</v>
      </c>
      <c r="R38" s="2" t="n">
        <v>932.0</v>
      </c>
      <c r="S38" s="2" t="inlineStr">
        <is>
          <t>4.07%</t>
        </is>
      </c>
      <c r="T38" s="2" t="inlineStr">
        <is>
          <t>31.6%</t>
        </is>
      </c>
      <c r="U38" s="2" t="inlineStr">
        <is>
          <t>0.02%</t>
        </is>
      </c>
      <c r="V38" s="2"/>
      <c r="W38" s="2" t="inlineStr">
        <is>
          <t>0₽</t>
        </is>
      </c>
      <c r="X38" s="2" t="n">
        <v>2.0</v>
      </c>
      <c r="Y38" s="2"/>
      <c r="Z38" s="2"/>
      <c r="AA38" s="3" t="inlineStr">
        <is>
          <t>2026-05-17
&lt; 1 个月</t>
        </is>
      </c>
      <c r="AB38" s="2" t="inlineStr">
        <is>
          <t>19000 g</t>
        </is>
      </c>
      <c r="AC38" s="2" t="inlineStr">
        <is>
          <t>132.192 L</t>
        </is>
      </c>
      <c r="AD38" s="2" t="inlineStr">
        <is>
          <t>TookFun Умный Дом</t>
        </is>
      </c>
      <c r="AE38" s="2" t="inlineStr">
        <is>
          <t>跨境卖家</t>
        </is>
      </c>
      <c r="AF38" s="2" t="inlineStr">
        <is>
          <t>RFBS</t>
        </is>
      </c>
      <c r="AG38" s="2" t="n">
        <v>1.0</v>
      </c>
    </row>
    <row r="39" customHeight="true" ht="64.0">
      <c r="A39" s="2" t="n">
        <v>38.0</v>
      </c>
      <c r="B39" s="2" t="inlineStr">
        <is>
          <t>https://ir.ozone.ru/s3/multimedia-1-s/wc300/10684639828.jpg</t>
        </is>
      </c>
      <c r="C39" s="2" t="n">
        <f>IF(ISERROR(IMAGE("https://ir.ozone.ru/s3/multimedia-1-s/wc300/10684639828.jpg")),"请使用新版Excel2024查看图片",IMAGE("https://ir.ozone.ru/s3/multimedia-1-s/wc300/10684639828.jpg"))</f>
        <v>0.0</v>
      </c>
      <c r="D39" s="2" t="inlineStr">
        <is>
          <t>Sony Смартфон Sony Xperia1 VIII 12+256GB Graphite Black XQ-GE74  Global 12/256 ГБ, Nano-SIM, черный матовый</t>
        </is>
      </c>
      <c r="E39" s="2" t="inlineStr">
        <is>
          <t>https://www.ozon.ru/product/4374576479</t>
        </is>
      </c>
      <c r="F39" s="2" t="n">
        <v>4.374576479E9</v>
      </c>
      <c r="G39" s="2" t="inlineStr">
        <is>
          <t>Sony</t>
        </is>
      </c>
      <c r="H39" s="3" t="inlineStr">
        <is>
          <t>智能手机
Смартфон</t>
        </is>
      </c>
      <c r="I39" s="3" t="inlineStr">
        <is>
          <t>跨境卖家可售</t>
        </is>
      </c>
      <c r="J39" s="2" t="inlineStr">
        <is>
          <t>99950₽</t>
        </is>
      </c>
      <c r="K39" s="2" t="n">
        <v>7.0</v>
      </c>
      <c r="L39" s="2" t="inlineStr">
        <is>
          <t>690284₽</t>
        </is>
      </c>
      <c r="M39" s="2" t="inlineStr">
        <is>
          <t>100%</t>
        </is>
      </c>
      <c r="N39" s="2" t="inlineStr">
        <is>
          <t>100%</t>
        </is>
      </c>
      <c r="O39" s="2" t="inlineStr">
        <is>
          <t>57.3%</t>
        </is>
      </c>
      <c r="P39" s="2" t="n">
        <v>38739.0</v>
      </c>
      <c r="Q39" s="2" t="n">
        <v>8558.0</v>
      </c>
      <c r="R39" s="2" t="n">
        <v>8618.0</v>
      </c>
      <c r="S39" s="2" t="inlineStr">
        <is>
          <t>2.4%</t>
        </is>
      </c>
      <c r="T39" s="2" t="inlineStr">
        <is>
          <t>3.4%</t>
        </is>
      </c>
      <c r="U39" s="2" t="inlineStr">
        <is>
          <t>1.92%</t>
        </is>
      </c>
      <c r="V39" s="2"/>
      <c r="W39" s="2" t="inlineStr">
        <is>
          <t>0₽</t>
        </is>
      </c>
      <c r="X39" s="2" t="n">
        <v>8.0</v>
      </c>
      <c r="Y39" s="2" t="n">
        <v>7.0</v>
      </c>
      <c r="Z39" s="2" t="inlineStr">
        <is>
          <t>5.0</t>
        </is>
      </c>
      <c r="AA39" s="3" t="inlineStr">
        <is>
          <t>2026-05-20
&lt; 1 个月</t>
        </is>
      </c>
      <c r="AB39" s="2" t="inlineStr">
        <is>
          <t>280 g</t>
        </is>
      </c>
      <c r="AC39" s="2" t="inlineStr">
        <is>
          <t>0.122 L</t>
        </is>
      </c>
      <c r="AD39" s="2" t="inlineStr">
        <is>
          <t>MOS Premium Store</t>
        </is>
      </c>
      <c r="AE39" s="2" t="inlineStr">
        <is>
          <t>跨境卖家</t>
        </is>
      </c>
      <c r="AF39" s="2" t="inlineStr">
        <is>
          <t>RFBS</t>
        </is>
      </c>
      <c r="AG39" s="2" t="n">
        <v>24.0</v>
      </c>
    </row>
    <row r="40" customHeight="true" ht="64.0">
      <c r="A40" s="2" t="n">
        <v>39.0</v>
      </c>
      <c r="B40" s="2" t="inlineStr">
        <is>
          <t>https://ir.ozone.ru/s3/multimedia-1-l/wc300/10648129413.jpg</t>
        </is>
      </c>
      <c r="C40" s="2" t="n">
        <f>IF(ISERROR(IMAGE("https://ir.ozone.ru/s3/multimedia-1-l/wc300/10648129413.jpg")),"请使用新版Excel2024查看图片",IMAGE("https://ir.ozone.ru/s3/multimedia-1-l/wc300/10648129413.jpg"))</f>
        <v>0.0</v>
      </c>
      <c r="D40" s="2" t="inlineStr">
        <is>
          <t>SUP-доска86 см</t>
        </is>
      </c>
      <c r="E40" s="2" t="inlineStr">
        <is>
          <t>https://www.ozon.ru/product/4384566779</t>
        </is>
      </c>
      <c r="F40" s="2" t="n">
        <v>4.384566779E9</v>
      </c>
      <c r="G40" s="2" t="inlineStr">
        <is>
          <t/>
        </is>
      </c>
      <c r="H40" s="3" t="inlineStr">
        <is>
          <t>SUP桨板
SUP-доска</t>
        </is>
      </c>
      <c r="I40" s="3" t="inlineStr">
        <is>
          <t>跨境卖家可售</t>
        </is>
      </c>
      <c r="J40" s="2" t="inlineStr">
        <is>
          <t>12751₽</t>
        </is>
      </c>
      <c r="K40" s="2" t="n">
        <v>54.0</v>
      </c>
      <c r="L40" s="2" t="inlineStr">
        <is>
          <t>686839₽</t>
        </is>
      </c>
      <c r="M40" s="2" t="inlineStr">
        <is>
          <t>100%</t>
        </is>
      </c>
      <c r="N40" s="2" t="inlineStr">
        <is>
          <t>100%</t>
        </is>
      </c>
      <c r="O40" s="2" t="inlineStr">
        <is>
          <t>51.4%</t>
        </is>
      </c>
      <c r="P40" s="2" t="n">
        <v>11226.0</v>
      </c>
      <c r="Q40" s="2" t="n">
        <v>444.0</v>
      </c>
      <c r="R40" s="2" t="n">
        <v>5237.0</v>
      </c>
      <c r="S40" s="2" t="inlineStr">
        <is>
          <t>14.09%</t>
        </is>
      </c>
      <c r="T40" s="2" t="inlineStr">
        <is>
          <t>7.3%</t>
        </is>
      </c>
      <c r="U40" s="2" t="inlineStr">
        <is>
          <t>0.0%</t>
        </is>
      </c>
      <c r="V40" s="2"/>
      <c r="W40" s="2" t="inlineStr">
        <is>
          <t>0₽</t>
        </is>
      </c>
      <c r="X40" s="2" t="n">
        <v>1.0</v>
      </c>
      <c r="Y40" s="2"/>
      <c r="Z40" s="2"/>
      <c r="AA40" s="3" t="inlineStr">
        <is>
          <t>2026-05-21
&lt; 1 个月</t>
        </is>
      </c>
      <c r="AB40" s="2" t="inlineStr">
        <is>
          <t>15000 g</t>
        </is>
      </c>
      <c r="AC40" s="2" t="inlineStr">
        <is>
          <t>73.87 L</t>
        </is>
      </c>
      <c r="AD40" s="2" t="inlineStr">
        <is>
          <t>chenjun</t>
        </is>
      </c>
      <c r="AE40" s="2" t="inlineStr">
        <is>
          <t>跨境卖家</t>
        </is>
      </c>
      <c r="AF40" s="2" t="inlineStr">
        <is>
          <t>RFBS</t>
        </is>
      </c>
      <c r="AG40" s="2" t="n">
        <v>3.0</v>
      </c>
    </row>
    <row r="41" customHeight="true" ht="64.0">
      <c r="A41" s="2" t="n">
        <v>40.0</v>
      </c>
      <c r="B41" s="2" t="inlineStr">
        <is>
          <t>https://ir.ozone.ru/s3/multimedia-1-m/wc300/10683976450.jpg</t>
        </is>
      </c>
      <c r="C41" s="2" t="n">
        <f>IF(ISERROR(IMAGE("https://ir.ozone.ru/s3/multimedia-1-m/wc300/10683976450.jpg")),"请使用新版Excel2024查看图片",IMAGE("https://ir.ozone.ru/s3/multimedia-1-m/wc300/10683976450.jpg"))</f>
        <v>0.0</v>
      </c>
      <c r="D41" s="2" t="inlineStr">
        <is>
          <t>Внешний аккумулятор, 315000 мАч, 1200 Вт, черный, оранжевый, T11</t>
        </is>
      </c>
      <c r="E41" s="2" t="inlineStr">
        <is>
          <t>https://www.ozon.ru/product/4397944124</t>
        </is>
      </c>
      <c r="F41" s="2" t="n">
        <v>4.397944124E9</v>
      </c>
      <c r="G41" s="2" t="inlineStr">
        <is>
          <t/>
        </is>
      </c>
      <c r="H41" s="3" t="inlineStr">
        <is>
          <t>充电宝
Внешний аккумулятор</t>
        </is>
      </c>
      <c r="I41" s="3" t="inlineStr">
        <is>
          <t>跨境卖家可售</t>
        </is>
      </c>
      <c r="J41" s="2" t="inlineStr">
        <is>
          <t>21947₽</t>
        </is>
      </c>
      <c r="K41" s="2" t="n">
        <v>31.0</v>
      </c>
      <c r="L41" s="2" t="inlineStr">
        <is>
          <t>683027₽</t>
        </is>
      </c>
      <c r="M41" s="2" t="inlineStr">
        <is>
          <t>100%</t>
        </is>
      </c>
      <c r="N41" s="2" t="inlineStr">
        <is>
          <t>100%</t>
        </is>
      </c>
      <c r="O41" s="2" t="inlineStr">
        <is>
          <t>48.1%</t>
        </is>
      </c>
      <c r="P41" s="2" t="n">
        <v>3281.0</v>
      </c>
      <c r="Q41" s="2" t="n">
        <v>652.0</v>
      </c>
      <c r="R41" s="2" t="n">
        <v>864.0</v>
      </c>
      <c r="S41" s="2" t="inlineStr">
        <is>
          <t>5.78%</t>
        </is>
      </c>
      <c r="T41" s="2" t="inlineStr">
        <is>
          <t>62.0%</t>
        </is>
      </c>
      <c r="U41" s="2" t="inlineStr">
        <is>
          <t>0.0%</t>
        </is>
      </c>
      <c r="V41" s="2"/>
      <c r="W41" s="2" t="inlineStr">
        <is>
          <t>0₽</t>
        </is>
      </c>
      <c r="X41" s="2" t="n">
        <v>1.0</v>
      </c>
      <c r="Y41" s="2"/>
      <c r="Z41" s="2"/>
      <c r="AA41" s="3" t="inlineStr">
        <is>
          <t>2026-05-22
&lt; 1 个月</t>
        </is>
      </c>
      <c r="AB41" s="2" t="inlineStr">
        <is>
          <t>16200 g</t>
        </is>
      </c>
      <c r="AC41" s="2" t="inlineStr">
        <is>
          <t>72.468 L</t>
        </is>
      </c>
      <c r="AD41" s="2" t="inlineStr">
        <is>
          <t>wangxue</t>
        </is>
      </c>
      <c r="AE41" s="2" t="inlineStr">
        <is>
          <t>跨境卖家</t>
        </is>
      </c>
      <c r="AF41" s="2" t="inlineStr">
        <is>
          <t>RFBS</t>
        </is>
      </c>
      <c r="AG41" s="2" t="n">
        <v>3.0</v>
      </c>
    </row>
    <row r="42" customHeight="true" ht="64.0">
      <c r="A42" s="2" t="n">
        <v>41.0</v>
      </c>
      <c r="B42" s="2" t="inlineStr">
        <is>
          <t>https://ir.ozone.ru/s3/multimedia-1-e/wc300/10610688614.jpg</t>
        </is>
      </c>
      <c r="C42" s="2" t="n">
        <f>IF(ISERROR(IMAGE("https://ir.ozone.ru/s3/multimedia-1-e/wc300/10610688614.jpg")),"请使用新版Excel2024查看图片",IMAGE("https://ir.ozone.ru/s3/multimedia-1-e/wc300/10610688614.jpg"))</f>
        <v>0.0</v>
      </c>
      <c r="D42" s="2" t="inlineStr">
        <is>
          <t>Sony Смартфон Xperia 1 VIII XQ-GE74 Mark 8 Глобальная версия Global 12/512 ГБ, Nano-SIM, eSIM, черный матовый</t>
        </is>
      </c>
      <c r="E42" s="2" t="inlineStr">
        <is>
          <t>https://www.ozon.ru/product/4322498963</t>
        </is>
      </c>
      <c r="F42" s="2" t="n">
        <v>4.322498963E9</v>
      </c>
      <c r="G42" s="2" t="inlineStr">
        <is>
          <t>Sony</t>
        </is>
      </c>
      <c r="H42" s="3" t="inlineStr">
        <is>
          <t>智能手机
Смартфон</t>
        </is>
      </c>
      <c r="I42" s="3" t="inlineStr">
        <is>
          <t>跨境卖家可售</t>
        </is>
      </c>
      <c r="J42" s="2" t="inlineStr">
        <is>
          <t>113650₽</t>
        </is>
      </c>
      <c r="K42" s="2" t="n">
        <v>6.0</v>
      </c>
      <c r="L42" s="2" t="inlineStr">
        <is>
          <t>681900₽</t>
        </is>
      </c>
      <c r="M42" s="2" t="inlineStr">
        <is>
          <t>100%</t>
        </is>
      </c>
      <c r="N42" s="2" t="inlineStr">
        <is>
          <t>100%</t>
        </is>
      </c>
      <c r="O42" s="2" t="inlineStr">
        <is>
          <t>57.3%</t>
        </is>
      </c>
      <c r="P42" s="2" t="n">
        <v>13975.0</v>
      </c>
      <c r="Q42" s="2" t="n">
        <v>996.0</v>
      </c>
      <c r="R42" s="2" t="n">
        <v>4043.0</v>
      </c>
      <c r="S42" s="2" t="inlineStr">
        <is>
          <t>2.81%</t>
        </is>
      </c>
      <c r="T42" s="2" t="inlineStr">
        <is>
          <t>5.3%</t>
        </is>
      </c>
      <c r="U42" s="2" t="inlineStr">
        <is>
          <t>0.0%</t>
        </is>
      </c>
      <c r="V42" s="2"/>
      <c r="W42" s="2" t="inlineStr">
        <is>
          <t>0₽</t>
        </is>
      </c>
      <c r="X42" s="2" t="n">
        <v>7.0</v>
      </c>
      <c r="Y42" s="2"/>
      <c r="Z42" s="2"/>
      <c r="AA42" s="3" t="inlineStr">
        <is>
          <t>2026-05-15
1 个月</t>
        </is>
      </c>
      <c r="AB42" s="2" t="inlineStr">
        <is>
          <t>500 g</t>
        </is>
      </c>
      <c r="AC42" s="2" t="inlineStr">
        <is>
          <t>3.234 L</t>
        </is>
      </c>
      <c r="AD42" s="2" t="inlineStr">
        <is>
          <t>Новая береза</t>
        </is>
      </c>
      <c r="AE42" s="2" t="inlineStr">
        <is>
          <t>跨境卖家</t>
        </is>
      </c>
      <c r="AF42" s="2" t="inlineStr">
        <is>
          <t>RFBS</t>
        </is>
      </c>
      <c r="AG42" s="2" t="n">
        <v>22.0</v>
      </c>
    </row>
    <row r="43" customHeight="true" ht="64.0">
      <c r="A43" s="2" t="n">
        <v>42.0</v>
      </c>
      <c r="B43" s="2" t="inlineStr">
        <is>
          <t>https://ir.ozone.ru/s3/multimedia-1-r/wc300/10573069455.jpg</t>
        </is>
      </c>
      <c r="C43" s="2" t="n">
        <f>IF(ISERROR(IMAGE("https://ir.ozone.ru/s3/multimedia-1-r/wc300/10573069455.jpg")),"请使用新版Excel2024查看图片",IMAGE("https://ir.ozone.ru/s3/multimedia-1-r/wc300/10573069455.jpg"))</f>
        <v>0.0</v>
      </c>
      <c r="D43" s="2" t="inlineStr">
        <is>
          <t>LOWRANCE Орел 9 TripleShot Эхолот+C-MAP</t>
        </is>
      </c>
      <c r="E43" s="2" t="inlineStr">
        <is>
          <t>https://www.ozon.ru/product/4353110317</t>
        </is>
      </c>
      <c r="F43" s="2" t="n">
        <v>4.353110317E9</v>
      </c>
      <c r="G43" s="2" t="inlineStr">
        <is>
          <t>Lowrance</t>
        </is>
      </c>
      <c r="H43" s="3" t="inlineStr">
        <is>
          <t>垂钓配件与装备
Аксессуары и оснастка для рыбалки</t>
        </is>
      </c>
      <c r="I43" s="3" t="inlineStr">
        <is>
          <t>跨境卖家可售</t>
        </is>
      </c>
      <c r="J43" s="2" t="inlineStr">
        <is>
          <t>48345₽</t>
        </is>
      </c>
      <c r="K43" s="2" t="n">
        <v>14.0</v>
      </c>
      <c r="L43" s="2" t="inlineStr">
        <is>
          <t>676624₽</t>
        </is>
      </c>
      <c r="M43" s="2" t="inlineStr">
        <is>
          <t>100%</t>
        </is>
      </c>
      <c r="N43" s="2" t="inlineStr">
        <is>
          <t>100%</t>
        </is>
      </c>
      <c r="O43" s="2" t="inlineStr">
        <is>
          <t>49.6%</t>
        </is>
      </c>
      <c r="P43" s="2" t="n">
        <v>39002.0</v>
      </c>
      <c r="Q43" s="2" t="n">
        <v>8051.0</v>
      </c>
      <c r="R43" s="2" t="n">
        <v>3716.0</v>
      </c>
      <c r="S43" s="2" t="inlineStr">
        <is>
          <t>4.79%</t>
        </is>
      </c>
      <c r="T43" s="2" t="inlineStr">
        <is>
          <t>7.9%</t>
        </is>
      </c>
      <c r="U43" s="2" t="inlineStr">
        <is>
          <t>0.73%</t>
        </is>
      </c>
      <c r="V43" s="2"/>
      <c r="W43" s="2" t="inlineStr">
        <is>
          <t>0₽</t>
        </is>
      </c>
      <c r="X43" s="2" t="n">
        <v>1.0</v>
      </c>
      <c r="Y43" s="2" t="n">
        <v>2.0</v>
      </c>
      <c r="Z43" s="2" t="inlineStr">
        <is>
          <t>5.0</t>
        </is>
      </c>
      <c r="AA43" s="3" t="inlineStr">
        <is>
          <t>2026-05-18
&lt; 1 个月</t>
        </is>
      </c>
      <c r="AB43" s="2" t="inlineStr">
        <is>
          <t>3000 g</t>
        </is>
      </c>
      <c r="AC43" s="2" t="inlineStr">
        <is>
          <t>23.001 L</t>
        </is>
      </c>
      <c r="AD43" s="2" t="inlineStr">
        <is>
          <t>Рыболокатор Молл</t>
        </is>
      </c>
      <c r="AE43" s="2" t="inlineStr">
        <is>
          <t>跨境卖家</t>
        </is>
      </c>
      <c r="AF43" s="2" t="inlineStr">
        <is>
          <t>RFBS</t>
        </is>
      </c>
      <c r="AG43" s="2" t="n">
        <v>11.0</v>
      </c>
    </row>
    <row r="44" customHeight="true" ht="64.0">
      <c r="A44" s="2" t="n">
        <v>43.0</v>
      </c>
      <c r="B44" s="2" t="inlineStr">
        <is>
          <t>https://ir.ozone.ru/s3/multimedia-1-n/wc300/11045516531.jpg</t>
        </is>
      </c>
      <c r="C44" s="2" t="n">
        <f>IF(ISERROR(IMAGE("https://ir.ozone.ru/s3/multimedia-1-n/wc300/11045516531.jpg")),"请使用新版Excel2024查看图片",IMAGE("https://ir.ozone.ru/s3/multimedia-1-n/wc300/11045516531.jpg"))</f>
        <v>0.0</v>
      </c>
      <c r="D44" s="2" t="inlineStr">
        <is>
          <t>Li-ionBlack bear Аккумулятор для электровелосипеда 2026, 3000 Вт</t>
        </is>
      </c>
      <c r="E44" s="2" t="inlineStr">
        <is>
          <t>https://www.ozon.ru/product/4340159342</t>
        </is>
      </c>
      <c r="F44" s="2" t="n">
        <v>4.340159342E9</v>
      </c>
      <c r="G44" s="2" t="inlineStr">
        <is>
          <t>Li-ionBlack bear</t>
        </is>
      </c>
      <c r="H44" s="3" t="inlineStr">
        <is>
          <t>电动自行车电池 
Аккумулятор для электровелосипеда</t>
        </is>
      </c>
      <c r="I44" s="3" t="inlineStr">
        <is>
          <t>跨境卖家可售</t>
        </is>
      </c>
      <c r="J44" s="2" t="inlineStr">
        <is>
          <t>65111₽</t>
        </is>
      </c>
      <c r="K44" s="2" t="n">
        <v>10.0</v>
      </c>
      <c r="L44" s="2" t="inlineStr">
        <is>
          <t>657971₽</t>
        </is>
      </c>
      <c r="M44" s="2" t="inlineStr">
        <is>
          <t>100%</t>
        </is>
      </c>
      <c r="N44" s="2" t="inlineStr">
        <is>
          <t>100%</t>
        </is>
      </c>
      <c r="O44" s="2" t="inlineStr">
        <is>
          <t>49.7%</t>
        </is>
      </c>
      <c r="P44" s="2" t="n">
        <v>3895.0</v>
      </c>
      <c r="Q44" s="2" t="n">
        <v>486.0</v>
      </c>
      <c r="R44" s="2" t="n">
        <v>1277.0</v>
      </c>
      <c r="S44" s="2" t="inlineStr">
        <is>
          <t>4.77%</t>
        </is>
      </c>
      <c r="T44" s="2" t="inlineStr">
        <is>
          <t>16.4%</t>
        </is>
      </c>
      <c r="U44" s="2" t="inlineStr">
        <is>
          <t>0.0%</t>
        </is>
      </c>
      <c r="V44" s="2"/>
      <c r="W44" s="2" t="inlineStr">
        <is>
          <t>0₽</t>
        </is>
      </c>
      <c r="X44" s="2" t="n">
        <v>6.0</v>
      </c>
      <c r="Y44" s="2" t="n">
        <v>17.0</v>
      </c>
      <c r="Z44" s="2"/>
      <c r="AA44" s="3" t="inlineStr">
        <is>
          <t>2026-05-17
&lt; 1 个月</t>
        </is>
      </c>
      <c r="AB44" s="2" t="inlineStr">
        <is>
          <t>26000 g</t>
        </is>
      </c>
      <c r="AC44" s="2" t="inlineStr">
        <is>
          <t>15.36 L</t>
        </is>
      </c>
      <c r="AD44" s="2" t="inlineStr">
        <is>
          <t>Повелитель энергии-A</t>
        </is>
      </c>
      <c r="AE44" s="2" t="inlineStr">
        <is>
          <t>跨境卖家</t>
        </is>
      </c>
      <c r="AF44" s="2" t="inlineStr">
        <is>
          <t>RFBS</t>
        </is>
      </c>
      <c r="AG44" s="2" t="n">
        <v>94.0</v>
      </c>
    </row>
    <row r="45" customHeight="true" ht="64.0">
      <c r="A45" s="2" t="n">
        <v>44.0</v>
      </c>
      <c r="B45" s="2" t="inlineStr">
        <is>
          <t>https://ir.ozone.ru/s3/multimedia-1-h/wc300/10724347241.jpg</t>
        </is>
      </c>
      <c r="C45" s="2" t="n">
        <f>IF(ISERROR(IMAGE("https://ir.ozone.ru/s3/multimedia-1-h/wc300/10724347241.jpg")),"请使用新版Excel2024查看图片",IMAGE("https://ir.ozone.ru/s3/multimedia-1-h/wc300/10724347241.jpg"))</f>
        <v>0.0</v>
      </c>
      <c r="D45" s="2" t="inlineStr">
        <is>
          <t>VIDDA Гобо-проектор Vidda C3 Ultra Highlighted Lumens  трехцветный лазерный проектор, голубой</t>
        </is>
      </c>
      <c r="E45" s="2" t="inlineStr">
        <is>
          <t>https://www.ozon.ru/product/4413034472</t>
        </is>
      </c>
      <c r="F45" s="2" t="n">
        <v>4.413034472E9</v>
      </c>
      <c r="G45" s="2" t="inlineStr">
        <is>
          <t>VIDDA</t>
        </is>
      </c>
      <c r="H45" s="3" t="inlineStr">
        <is>
          <t>图案投影仪
Гобо-проектор</t>
        </is>
      </c>
      <c r="I45" s="3" t="inlineStr">
        <is>
          <t>跨境卖家可售</t>
        </is>
      </c>
      <c r="J45" s="2" t="inlineStr">
        <is>
          <t>108854₽</t>
        </is>
      </c>
      <c r="K45" s="2" t="n">
        <v>10.0</v>
      </c>
      <c r="L45" s="2" t="inlineStr">
        <is>
          <t>655980₽</t>
        </is>
      </c>
      <c r="M45" s="2" t="inlineStr">
        <is>
          <t>100%</t>
        </is>
      </c>
      <c r="N45" s="2" t="inlineStr">
        <is>
          <t>100%</t>
        </is>
      </c>
      <c r="O45" s="2" t="inlineStr">
        <is>
          <t>52.8%</t>
        </is>
      </c>
      <c r="P45" s="2" t="n">
        <v>8549.0</v>
      </c>
      <c r="Q45" s="2" t="n">
        <v>1709.0</v>
      </c>
      <c r="R45" s="2" t="n">
        <v>2102.0</v>
      </c>
      <c r="S45" s="2" t="inlineStr">
        <is>
          <t>2.85%</t>
        </is>
      </c>
      <c r="T45" s="2" t="inlineStr">
        <is>
          <t>16.7%</t>
        </is>
      </c>
      <c r="U45" s="2" t="inlineStr">
        <is>
          <t>0.11%</t>
        </is>
      </c>
      <c r="V45" s="2"/>
      <c r="W45" s="2" t="inlineStr">
        <is>
          <t>0₽</t>
        </is>
      </c>
      <c r="X45" s="2" t="n">
        <v>4.0</v>
      </c>
      <c r="Y45" s="2"/>
      <c r="Z45" s="2"/>
      <c r="AA45" s="3" t="inlineStr">
        <is>
          <t>2026-05-23
&lt; 1 个月</t>
        </is>
      </c>
      <c r="AB45" s="2" t="inlineStr">
        <is>
          <t>9000 g</t>
        </is>
      </c>
      <c r="AC45" s="2" t="inlineStr">
        <is>
          <t>3.375 L</t>
        </is>
      </c>
      <c r="AD45" s="2" t="inlineStr">
        <is>
          <t>zhoujun</t>
        </is>
      </c>
      <c r="AE45" s="2" t="inlineStr">
        <is>
          <t>跨境卖家</t>
        </is>
      </c>
      <c r="AF45" s="2" t="inlineStr">
        <is>
          <t>RFBS</t>
        </is>
      </c>
      <c r="AG45" s="2" t="n">
        <v>10.0</v>
      </c>
    </row>
    <row r="46" customHeight="true" ht="64.0">
      <c r="A46" s="2" t="n">
        <v>45.0</v>
      </c>
      <c r="B46" s="2" t="inlineStr">
        <is>
          <t>https://ir.ozone.ru/s3/multimedia-1-j/wc300/10984284595.jpg</t>
        </is>
      </c>
      <c r="C46" s="2" t="n">
        <f>IF(ISERROR(IMAGE("https://ir.ozone.ru/s3/multimedia-1-j/wc300/10984284595.jpg")),"请使用新版Excel2024查看图片",IMAGE("https://ir.ozone.ru/s3/multimedia-1-j/wc300/10984284595.jpg"))</f>
        <v>0.0</v>
      </c>
      <c r="D46" s="2" t="inlineStr">
        <is>
          <t>Klipsch Flexus CORE 300 5.1.2 Dolby Atmos Soundbar, поддержка Dolby Atmos и Bluetooth, отделка под орех</t>
        </is>
      </c>
      <c r="E46" s="2" t="inlineStr">
        <is>
          <t>https://www.ozon.ru/product/4517479472</t>
        </is>
      </c>
      <c r="F46" s="2" t="n">
        <v>4.517479472E9</v>
      </c>
      <c r="G46" s="2" t="inlineStr">
        <is>
          <t/>
        </is>
      </c>
      <c r="H46" s="3" t="inlineStr">
        <is>
          <t>回音壁
Саундбар</t>
        </is>
      </c>
      <c r="I46" s="3" t="inlineStr">
        <is>
          <t>跨境卖家可售</t>
        </is>
      </c>
      <c r="J46" s="2" t="inlineStr">
        <is>
          <t>93278₽</t>
        </is>
      </c>
      <c r="K46" s="2" t="n">
        <v>7.0</v>
      </c>
      <c r="L46" s="2" t="inlineStr">
        <is>
          <t>655021₽</t>
        </is>
      </c>
      <c r="M46" s="2" t="inlineStr">
        <is>
          <t>100%</t>
        </is>
      </c>
      <c r="N46" s="2" t="inlineStr">
        <is>
          <t>100%</t>
        </is>
      </c>
      <c r="O46" s="2" t="inlineStr">
        <is>
          <t/>
        </is>
      </c>
      <c r="P46" s="2" t="n">
        <v>2576.0</v>
      </c>
      <c r="Q46" s="2" t="n">
        <v>320.0</v>
      </c>
      <c r="R46" s="2" t="n">
        <v>590.0</v>
      </c>
      <c r="S46" s="2" t="inlineStr">
        <is>
          <t>3.72%</t>
        </is>
      </c>
      <c r="T46" s="2" t="inlineStr">
        <is>
          <t>31.8%</t>
        </is>
      </c>
      <c r="U46" s="2" t="inlineStr">
        <is>
          <t>0.0%</t>
        </is>
      </c>
      <c r="V46" s="2"/>
      <c r="W46" s="2" t="inlineStr">
        <is>
          <t>0₽</t>
        </is>
      </c>
      <c r="X46" s="2" t="n">
        <v>1.0</v>
      </c>
      <c r="Y46" s="2"/>
      <c r="Z46" s="2"/>
      <c r="AA46" s="3" t="inlineStr">
        <is>
          <t>2026-05-31
&lt; 1 个月</t>
        </is>
      </c>
      <c r="AB46" s="2" t="inlineStr">
        <is>
          <t/>
        </is>
      </c>
      <c r="AC46" s="2" t="inlineStr">
        <is>
          <t/>
        </is>
      </c>
      <c r="AD46" s="2" t="inlineStr">
        <is>
          <t>luyi6</t>
        </is>
      </c>
      <c r="AE46" s="2" t="inlineStr">
        <is>
          <t>跨境卖家</t>
        </is>
      </c>
      <c r="AF46" s="2" t="inlineStr">
        <is>
          <t>RFBS</t>
        </is>
      </c>
      <c r="AG46" s="2" t="n">
        <v>0.0</v>
      </c>
    </row>
    <row r="47" customHeight="true" ht="64.0">
      <c r="A47" s="2" t="n">
        <v>46.0</v>
      </c>
      <c r="B47" s="2" t="inlineStr">
        <is>
          <t>https://ir.ozone.ru/s3/multimedia-1-d/wc300/10766373061.jpg</t>
        </is>
      </c>
      <c r="C47" s="2" t="n">
        <f>IF(ISERROR(IMAGE("https://ir.ozone.ru/s3/multimedia-1-d/wc300/10766373061.jpg")),"请使用新版Excel2024查看图片",IMAGE("https://ir.ozone.ru/s3/multimedia-1-d/wc300/10766373061.jpg"))</f>
        <v>0.0</v>
      </c>
      <c r="D47" s="2" t="inlineStr">
        <is>
          <t>Гобо-проектор N5S Ultra Max 3840x2160 Qualas42 5600CVIA Люмен 4 + 128ГБ 3-цветной лазерный проектор с оптическим зумом 0.88-1.7:1 для видеоигр в домаш</t>
        </is>
      </c>
      <c r="E47" s="2" t="inlineStr">
        <is>
          <t>https://www.ozon.ru/product/4429044832</t>
        </is>
      </c>
      <c r="F47" s="2" t="n">
        <v>4.429044832E9</v>
      </c>
      <c r="G47" s="2" t="inlineStr">
        <is>
          <t/>
        </is>
      </c>
      <c r="H47" s="3" t="inlineStr">
        <is>
          <t>图案投影仪
Гобо-проектор</t>
        </is>
      </c>
      <c r="I47" s="3" t="inlineStr">
        <is>
          <t>跨境卖家可售</t>
        </is>
      </c>
      <c r="J47" s="2" t="inlineStr">
        <is>
          <t>108956₽</t>
        </is>
      </c>
      <c r="K47" s="2" t="n">
        <v>6.0</v>
      </c>
      <c r="L47" s="2" t="inlineStr">
        <is>
          <t>653736₽</t>
        </is>
      </c>
      <c r="M47" s="2" t="inlineStr">
        <is>
          <t>100%</t>
        </is>
      </c>
      <c r="N47" s="2" t="inlineStr">
        <is>
          <t>100%</t>
        </is>
      </c>
      <c r="O47" s="2" t="inlineStr">
        <is>
          <t/>
        </is>
      </c>
      <c r="P47" s="2" t="n">
        <v>2746.0</v>
      </c>
      <c r="Q47" s="2" t="n">
        <v>258.0</v>
      </c>
      <c r="R47" s="2" t="n">
        <v>507.0</v>
      </c>
      <c r="S47" s="2" t="inlineStr">
        <is>
          <t>3.55%</t>
        </is>
      </c>
      <c r="T47" s="2" t="inlineStr">
        <is>
          <t>33.3%</t>
        </is>
      </c>
      <c r="U47" s="2" t="inlineStr">
        <is>
          <t>0.0%</t>
        </is>
      </c>
      <c r="V47" s="2"/>
      <c r="W47" s="2" t="inlineStr">
        <is>
          <t>0₽</t>
        </is>
      </c>
      <c r="X47" s="2" t="n">
        <v>1.0</v>
      </c>
      <c r="Y47" s="2"/>
      <c r="Z47" s="2"/>
      <c r="AA47" s="3" t="inlineStr">
        <is>
          <t>2026-05-25
&lt; 1 个月</t>
        </is>
      </c>
      <c r="AB47" s="2" t="inlineStr">
        <is>
          <t/>
        </is>
      </c>
      <c r="AC47" s="2" t="inlineStr">
        <is>
          <t/>
        </is>
      </c>
      <c r="AD47" s="2" t="inlineStr">
        <is>
          <t>Город науки и техники</t>
        </is>
      </c>
      <c r="AE47" s="2" t="inlineStr">
        <is>
          <t>跨境卖家</t>
        </is>
      </c>
      <c r="AF47" s="2" t="inlineStr">
        <is>
          <t>RFBS</t>
        </is>
      </c>
      <c r="AG47" s="2" t="n">
        <v>0.0</v>
      </c>
    </row>
    <row r="48" customHeight="true" ht="64.0">
      <c r="A48" s="2" t="n">
        <v>47.0</v>
      </c>
      <c r="B48" s="2" t="inlineStr">
        <is>
          <t>https://ir.ozone.ru/s3/multimedia-1-k/wc300/11143520840.jpg</t>
        </is>
      </c>
      <c r="C48" s="2" t="n">
        <f>IF(ISERROR(IMAGE("https://ir.ozone.ru/s3/multimedia-1-k/wc300/11143520840.jpg")),"请使用新版Excel2024查看图片",IMAGE("https://ir.ozone.ru/s3/multimedia-1-k/wc300/11143520840.jpg"))</f>
        <v>0.0</v>
      </c>
      <c r="D48" s="2" t="inlineStr">
        <is>
          <t>Xiaomi Робот-пылесос Mijia Robot Vacuum 6 Max, PV11CN, воздуходувка 35000 Па, Автоматическая очистка основания, Высота преодолеваемого препятствия 60 мм,  Препятствие для панорамного распознавания с помощью трех камер искусственного интеллекта, черно-серый</t>
        </is>
      </c>
      <c r="E48" s="2" t="inlineStr">
        <is>
          <t>https://www.ozon.ru/product/4436237713</t>
        </is>
      </c>
      <c r="F48" s="2" t="n">
        <v>4.436237713E9</v>
      </c>
      <c r="G48" s="2" t="inlineStr">
        <is>
          <t>Xiaomi</t>
        </is>
      </c>
      <c r="H48" s="3" t="inlineStr">
        <is>
          <t>扫地机器人
Робот-пылесос</t>
        </is>
      </c>
      <c r="I48" s="3" t="inlineStr">
        <is>
          <t>跨境卖家可售</t>
        </is>
      </c>
      <c r="J48" s="2" t="inlineStr">
        <is>
          <t>51934₽</t>
        </is>
      </c>
      <c r="K48" s="2" t="n">
        <v>12.0</v>
      </c>
      <c r="L48" s="2" t="inlineStr">
        <is>
          <t>626774₽</t>
        </is>
      </c>
      <c r="M48" s="2" t="inlineStr">
        <is>
          <t>100%</t>
        </is>
      </c>
      <c r="N48" s="2" t="inlineStr">
        <is>
          <t>100%</t>
        </is>
      </c>
      <c r="O48" s="2" t="inlineStr">
        <is>
          <t>58.6%</t>
        </is>
      </c>
      <c r="P48" s="2" t="n">
        <v>5356.0</v>
      </c>
      <c r="Q48" s="2" t="n">
        <v>1546.0</v>
      </c>
      <c r="R48" s="2" t="n">
        <v>932.0</v>
      </c>
      <c r="S48" s="2" t="inlineStr">
        <is>
          <t>5.15%</t>
        </is>
      </c>
      <c r="T48" s="2" t="inlineStr">
        <is>
          <t>25.0%</t>
        </is>
      </c>
      <c r="U48" s="2" t="inlineStr">
        <is>
          <t>0.0%</t>
        </is>
      </c>
      <c r="V48" s="2"/>
      <c r="W48" s="2" t="inlineStr">
        <is>
          <t>0₽</t>
        </is>
      </c>
      <c r="X48" s="2" t="n">
        <v>4.0</v>
      </c>
      <c r="Y48" s="2" t="n">
        <v>68.0</v>
      </c>
      <c r="Z48" s="2" t="inlineStr">
        <is>
          <t>5.0</t>
        </is>
      </c>
      <c r="AA48" s="3" t="inlineStr">
        <is>
          <t>2026-05-25
&lt; 1 个月</t>
        </is>
      </c>
      <c r="AB48" s="2" t="inlineStr">
        <is>
          <t>15200 g</t>
        </is>
      </c>
      <c r="AC48" s="2" t="inlineStr">
        <is>
          <t>129.747 L</t>
        </is>
      </c>
      <c r="AD48" s="2" t="inlineStr">
        <is>
          <t>Webuy</t>
        </is>
      </c>
      <c r="AE48" s="2" t="inlineStr">
        <is>
          <t>跨境卖家</t>
        </is>
      </c>
      <c r="AF48" s="2" t="inlineStr">
        <is>
          <t>RFBS</t>
        </is>
      </c>
      <c r="AG48" s="2" t="n">
        <v>21.0</v>
      </c>
    </row>
    <row r="49" customHeight="true" ht="64.0">
      <c r="A49" s="2" t="n">
        <v>48.0</v>
      </c>
      <c r="B49" s="2" t="inlineStr">
        <is>
          <t>https://ir.ozone.ru/s3/multimedia-1-p/wc300/10808470033.jpg</t>
        </is>
      </c>
      <c r="C49" s="2" t="n">
        <f>IF(ISERROR(IMAGE("https://ir.ozone.ru/s3/multimedia-1-p/wc300/10808470033.jpg")),"请使用新版Excel2024查看图片",IMAGE("https://ir.ozone.ru/s3/multimedia-1-p/wc300/10808470033.jpg"))</f>
        <v>0.0</v>
      </c>
      <c r="D49" s="2" t="inlineStr">
        <is>
          <t>Гобо-проектор 2026Vidda C5 Ultra 4K трехцветный лазерный проектор 4400 CVIA MT9681 MCL3A  4+64 ГБ 0,9-1,5:1 оптический зум видео 3D Android Cinema про</t>
        </is>
      </c>
      <c r="E49" s="2" t="inlineStr">
        <is>
          <t>https://www.ozon.ru/product/4445148517</t>
        </is>
      </c>
      <c r="F49" s="2" t="n">
        <v>4.445148517E9</v>
      </c>
      <c r="G49" s="2" t="inlineStr">
        <is>
          <t/>
        </is>
      </c>
      <c r="H49" s="3" t="inlineStr">
        <is>
          <t>图案投影仪
Гобо-проектор</t>
        </is>
      </c>
      <c r="I49" s="3" t="inlineStr">
        <is>
          <t>跨境卖家可售</t>
        </is>
      </c>
      <c r="J49" s="2" t="inlineStr">
        <is>
          <t>104121₽</t>
        </is>
      </c>
      <c r="K49" s="2" t="n">
        <v>6.0</v>
      </c>
      <c r="L49" s="2" t="inlineStr">
        <is>
          <t>623358₽</t>
        </is>
      </c>
      <c r="M49" s="2" t="inlineStr">
        <is>
          <t>100%</t>
        </is>
      </c>
      <c r="N49" s="2" t="inlineStr">
        <is>
          <t>100%</t>
        </is>
      </c>
      <c r="O49" s="2" t="inlineStr">
        <is>
          <t>52.8%</t>
        </is>
      </c>
      <c r="P49" s="2" t="n">
        <v>2658.0</v>
      </c>
      <c r="Q49" s="2" t="n">
        <v>237.0</v>
      </c>
      <c r="R49" s="2" t="n">
        <v>1070.0</v>
      </c>
      <c r="S49" s="2" t="inlineStr">
        <is>
          <t>2.05%</t>
        </is>
      </c>
      <c r="T49" s="2" t="inlineStr">
        <is>
          <t>27.3%</t>
        </is>
      </c>
      <c r="U49" s="2" t="inlineStr">
        <is>
          <t>0.0%</t>
        </is>
      </c>
      <c r="V49" s="2"/>
      <c r="W49" s="2" t="inlineStr">
        <is>
          <t>0₽</t>
        </is>
      </c>
      <c r="X49" s="2" t="n">
        <v>1.0</v>
      </c>
      <c r="Y49" s="2"/>
      <c r="Z49" s="2"/>
      <c r="AA49" s="3" t="inlineStr">
        <is>
          <t>2026-05-26
&lt; 1 个月</t>
        </is>
      </c>
      <c r="AB49" s="2" t="inlineStr">
        <is>
          <t>9000 g</t>
        </is>
      </c>
      <c r="AC49" s="2" t="inlineStr">
        <is>
          <t>3.375 L</t>
        </is>
      </c>
      <c r="AD49" s="2" t="inlineStr">
        <is>
          <t>Фокус на технологиях</t>
        </is>
      </c>
      <c r="AE49" s="2" t="inlineStr">
        <is>
          <t>跨境卖家</t>
        </is>
      </c>
      <c r="AF49" s="2" t="inlineStr">
        <is>
          <t>RFBS</t>
        </is>
      </c>
      <c r="AG49" s="2" t="n">
        <v>0.0</v>
      </c>
    </row>
    <row r="50" customHeight="true" ht="64.0">
      <c r="A50" s="2" t="n">
        <v>49.0</v>
      </c>
      <c r="B50" s="2" t="inlineStr">
        <is>
          <t>https://ir.ozone.ru/s3/multimedia-1-p/wc300/9548217961.jpg</t>
        </is>
      </c>
      <c r="C50" s="2" t="n">
        <f>IF(ISERROR(IMAGE("https://ir.ozone.ru/s3/multimedia-1-p/wc300/9548217961.jpg")),"请使用新版Excel2024查看图片",IMAGE("https://ir.ozone.ru/s3/multimedia-1-p/wc300/9548217961.jpg"))</f>
        <v>0.0</v>
      </c>
      <c r="D50" s="2" t="inlineStr">
        <is>
          <t>3D-принтер Snapmaker U1 для печати</t>
        </is>
      </c>
      <c r="E50" s="2" t="inlineStr">
        <is>
          <t>https://www.ozon.ru/product/4471899039</t>
        </is>
      </c>
      <c r="F50" s="2" t="n">
        <v>4.471899039E9</v>
      </c>
      <c r="G50" s="2" t="inlineStr">
        <is>
          <t/>
        </is>
      </c>
      <c r="H50" s="3" t="inlineStr">
        <is>
          <t>复印机
Копировальный аппарат</t>
        </is>
      </c>
      <c r="I50" s="3" t="inlineStr">
        <is>
          <t>跨境卖家可售</t>
        </is>
      </c>
      <c r="J50" s="2" t="inlineStr">
        <is>
          <t>62333₽</t>
        </is>
      </c>
      <c r="K50" s="2" t="n">
        <v>10.0</v>
      </c>
      <c r="L50" s="2" t="inlineStr">
        <is>
          <t>623330₽</t>
        </is>
      </c>
      <c r="M50" s="2" t="inlineStr">
        <is>
          <t>100%</t>
        </is>
      </c>
      <c r="N50" s="2" t="inlineStr">
        <is>
          <t>100%</t>
        </is>
      </c>
      <c r="O50" s="2" t="inlineStr">
        <is>
          <t>52.7%</t>
        </is>
      </c>
      <c r="P50" s="2" t="n">
        <v>12801.0</v>
      </c>
      <c r="Q50" s="2" t="n">
        <v>5594.0</v>
      </c>
      <c r="R50" s="2" t="n">
        <v>1390.0</v>
      </c>
      <c r="S50" s="2" t="inlineStr">
        <is>
          <t>6.83%</t>
        </is>
      </c>
      <c r="T50" s="2" t="inlineStr">
        <is>
          <t>10.5%</t>
        </is>
      </c>
      <c r="U50" s="2" t="inlineStr">
        <is>
          <t>0.45%</t>
        </is>
      </c>
      <c r="V50" s="2"/>
      <c r="W50" s="2" t="inlineStr">
        <is>
          <t>0₽</t>
        </is>
      </c>
      <c r="X50" s="2" t="n">
        <v>1.0</v>
      </c>
      <c r="Y50" s="2"/>
      <c r="Z50" s="2"/>
      <c r="AA50" s="3" t="inlineStr">
        <is>
          <t>2026-05-28
&lt; 1 个月</t>
        </is>
      </c>
      <c r="AB50" s="2" t="inlineStr">
        <is>
          <t>21000 g</t>
        </is>
      </c>
      <c r="AC50" s="2" t="inlineStr">
        <is>
          <t>174 L</t>
        </is>
      </c>
      <c r="AD50" s="2" t="inlineStr">
        <is>
          <t>Город науки и техники</t>
        </is>
      </c>
      <c r="AE50" s="2" t="inlineStr">
        <is>
          <t>跨境卖家</t>
        </is>
      </c>
      <c r="AF50" s="2" t="inlineStr">
        <is>
          <t>RFBS</t>
        </is>
      </c>
      <c r="AG50" s="2" t="n">
        <v>0.0</v>
      </c>
    </row>
    <row r="51" customHeight="true" ht="64.0">
      <c r="A51" s="2" t="n">
        <v>50.0</v>
      </c>
      <c r="B51" s="2" t="inlineStr">
        <is>
          <t>https://ir.ozone.ru/s3/multimedia-1-p/wc300/10608073873.jpg</t>
        </is>
      </c>
      <c r="C51" s="2" t="n">
        <f>IF(ISERROR(IMAGE("https://ir.ozone.ru/s3/multimedia-1-p/wc300/10608073873.jpg")),"请使用新版Excel2024查看图片",IMAGE("https://ir.ozone.ru/s3/multimedia-1-p/wc300/10608073873.jpg"))</f>
        <v>0.0</v>
      </c>
      <c r="D51" s="2" t="inlineStr">
        <is>
          <t>Садовый триммер аккумуляторный</t>
        </is>
      </c>
      <c r="E51" s="2" t="inlineStr">
        <is>
          <t>https://www.ozon.ru/product/4412701630</t>
        </is>
      </c>
      <c r="F51" s="2" t="n">
        <v>4.41270163E9</v>
      </c>
      <c r="G51" s="2" t="inlineStr">
        <is>
          <t/>
        </is>
      </c>
      <c r="H51" s="3" t="inlineStr">
        <is>
          <t>花园剪草机
Триммер садовый</t>
        </is>
      </c>
      <c r="I51" s="3" t="inlineStr">
        <is>
          <t>跨境卖家可售</t>
        </is>
      </c>
      <c r="J51" s="2" t="inlineStr">
        <is>
          <t>6332₽</t>
        </is>
      </c>
      <c r="K51" s="2" t="n">
        <v>100.0</v>
      </c>
      <c r="L51" s="2" t="inlineStr">
        <is>
          <t>614951₽</t>
        </is>
      </c>
      <c r="M51" s="2" t="inlineStr">
        <is>
          <t>100%</t>
        </is>
      </c>
      <c r="N51" s="2" t="inlineStr">
        <is>
          <t>100%</t>
        </is>
      </c>
      <c r="O51" s="2" t="inlineStr">
        <is>
          <t>51%</t>
        </is>
      </c>
      <c r="P51" s="2" t="n">
        <v>11518.0</v>
      </c>
      <c r="Q51" s="2" t="n">
        <v>2031.0</v>
      </c>
      <c r="R51" s="2" t="n">
        <v>3762.0</v>
      </c>
      <c r="S51" s="2" t="inlineStr">
        <is>
          <t>5.95%</t>
        </is>
      </c>
      <c r="T51" s="2" t="inlineStr">
        <is>
          <t>44.6%</t>
        </is>
      </c>
      <c r="U51" s="2" t="inlineStr">
        <is>
          <t>0.0%</t>
        </is>
      </c>
      <c r="V51" s="2"/>
      <c r="W51" s="2" t="inlineStr">
        <is>
          <t>0₽</t>
        </is>
      </c>
      <c r="X51" s="2" t="n">
        <v>1.0</v>
      </c>
      <c r="Y51" s="2"/>
      <c r="Z51" s="2"/>
      <c r="AA51" s="3" t="inlineStr">
        <is>
          <t>2026-05-23
&lt; 1 个月</t>
        </is>
      </c>
      <c r="AB51" s="2" t="inlineStr">
        <is>
          <t>4500 g</t>
        </is>
      </c>
      <c r="AC51" s="2" t="inlineStr">
        <is>
          <t>27.419 L</t>
        </is>
      </c>
      <c r="AD51" s="2" t="inlineStr">
        <is>
          <t>Медведь Инструменты</t>
        </is>
      </c>
      <c r="AE51" s="2" t="inlineStr">
        <is>
          <t>跨境卖家</t>
        </is>
      </c>
      <c r="AF51" s="2" t="inlineStr">
        <is>
          <t>RFBS</t>
        </is>
      </c>
      <c r="AG51" s="2" t="n">
        <v>21.0</v>
      </c>
    </row>
    <row r="52" customHeight="true" ht="64.0">
      <c r="A52" s="2" t="n">
        <v>51.0</v>
      </c>
      <c r="B52" s="2" t="inlineStr">
        <is>
          <t>https://ir.ozone.ru/s3/multimedia-1-v/wc300/10539538339.jpg</t>
        </is>
      </c>
      <c r="C52" s="2" t="n">
        <f>IF(ISERROR(IMAGE("https://ir.ozone.ru/s3/multimedia-1-v/wc300/10539538339.jpg")),"请使用新版Excel2024查看图片",IMAGE("https://ir.ozone.ru/s3/multimedia-1-v/wc300/10539538339.jpg"))</f>
        <v>0.0</v>
      </c>
      <c r="D52" s="2" t="inlineStr">
        <is>
          <t>Робот-пылесос  Mijia  6max</t>
        </is>
      </c>
      <c r="E52" s="2" t="inlineStr">
        <is>
          <t>https://www.ozon.ru/product/4340151422</t>
        </is>
      </c>
      <c r="F52" s="2" t="n">
        <v>4.340151422E9</v>
      </c>
      <c r="G52" s="2" t="inlineStr">
        <is>
          <t/>
        </is>
      </c>
      <c r="H52" s="3" t="inlineStr">
        <is>
          <t>扫地机器人
Робот-пылесос</t>
        </is>
      </c>
      <c r="I52" s="3" t="inlineStr">
        <is>
          <t>跨境卖家可售</t>
        </is>
      </c>
      <c r="J52" s="2" t="inlineStr">
        <is>
          <t>50522₽</t>
        </is>
      </c>
      <c r="K52" s="2" t="n">
        <v>12.0</v>
      </c>
      <c r="L52" s="2" t="inlineStr">
        <is>
          <t>606264₽</t>
        </is>
      </c>
      <c r="M52" s="2" t="inlineStr">
        <is>
          <t>100%</t>
        </is>
      </c>
      <c r="N52" s="2" t="inlineStr">
        <is>
          <t>100%</t>
        </is>
      </c>
      <c r="O52" s="2" t="inlineStr">
        <is>
          <t>58.6%</t>
        </is>
      </c>
      <c r="P52" s="2" t="n">
        <v>4189.0</v>
      </c>
      <c r="Q52" s="2" t="n">
        <v>742.0</v>
      </c>
      <c r="R52" s="2" t="n">
        <v>1074.0</v>
      </c>
      <c r="S52" s="2" t="inlineStr">
        <is>
          <t>5.4%</t>
        </is>
      </c>
      <c r="T52" s="2" t="inlineStr">
        <is>
          <t>20.7%</t>
        </is>
      </c>
      <c r="U52" s="2" t="inlineStr">
        <is>
          <t>0.02%</t>
        </is>
      </c>
      <c r="V52" s="2"/>
      <c r="W52" s="2" t="inlineStr">
        <is>
          <t>0₽</t>
        </is>
      </c>
      <c r="X52" s="2" t="n">
        <v>2.0</v>
      </c>
      <c r="Y52" s="2"/>
      <c r="Z52" s="2"/>
      <c r="AA52" s="3" t="inlineStr">
        <is>
          <t>2026-05-17
&lt; 1 个月</t>
        </is>
      </c>
      <c r="AB52" s="2" t="inlineStr">
        <is>
          <t>17500 g</t>
        </is>
      </c>
      <c r="AC52" s="2" t="inlineStr">
        <is>
          <t>125.664 L</t>
        </is>
      </c>
      <c r="AD52" s="2" t="inlineStr">
        <is>
          <t>TookFun Умный Дом</t>
        </is>
      </c>
      <c r="AE52" s="2" t="inlineStr">
        <is>
          <t>跨境卖家</t>
        </is>
      </c>
      <c r="AF52" s="2" t="inlineStr">
        <is>
          <t>RFBS</t>
        </is>
      </c>
      <c r="AG52" s="2" t="n">
        <v>1.0</v>
      </c>
    </row>
    <row r="53" customHeight="true" ht="64.0">
      <c r="A53" s="2" t="n">
        <v>52.0</v>
      </c>
      <c r="B53" s="2" t="inlineStr">
        <is>
          <t>https://ir.ozone.ru/s3/multimedia-1-q/wc300/10647348110.jpg</t>
        </is>
      </c>
      <c r="C53" s="2" t="n">
        <f>IF(ISERROR(IMAGE("https://ir.ozone.ru/s3/multimedia-1-q/wc300/10647348110.jpg")),"请使用新版Excel2024查看图片",IMAGE("https://ir.ozone.ru/s3/multimedia-1-q/wc300/10647348110.jpg"))</f>
        <v>0.0</v>
      </c>
      <c r="D53" s="2" t="inlineStr">
        <is>
          <t>SUP-доска83 см</t>
        </is>
      </c>
      <c r="E53" s="2" t="inlineStr">
        <is>
          <t>https://www.ozon.ru/product/4384250272</t>
        </is>
      </c>
      <c r="F53" s="2" t="n">
        <v>4.384250272E9</v>
      </c>
      <c r="G53" s="2" t="inlineStr">
        <is>
          <t/>
        </is>
      </c>
      <c r="H53" s="3" t="inlineStr">
        <is>
          <t>SUP桨板
SUP-доска</t>
        </is>
      </c>
      <c r="I53" s="3" t="inlineStr">
        <is>
          <t>跨境卖家可售</t>
        </is>
      </c>
      <c r="J53" s="2" t="inlineStr">
        <is>
          <t>8881₽</t>
        </is>
      </c>
      <c r="K53" s="2" t="n">
        <v>68.0</v>
      </c>
      <c r="L53" s="2" t="inlineStr">
        <is>
          <t>603086₽</t>
        </is>
      </c>
      <c r="M53" s="2" t="inlineStr">
        <is>
          <t>100%</t>
        </is>
      </c>
      <c r="N53" s="2" t="inlineStr">
        <is>
          <t>100%</t>
        </is>
      </c>
      <c r="O53" s="2" t="inlineStr">
        <is>
          <t>51%</t>
        </is>
      </c>
      <c r="P53" s="2" t="n">
        <v>12205.0</v>
      </c>
      <c r="Q53" s="2" t="n">
        <v>1207.0</v>
      </c>
      <c r="R53" s="2" t="n">
        <v>4917.0</v>
      </c>
      <c r="S53" s="2" t="inlineStr">
        <is>
          <t>14.8%</t>
        </is>
      </c>
      <c r="T53" s="2" t="inlineStr">
        <is>
          <t>9.3%</t>
        </is>
      </c>
      <c r="U53" s="2" t="inlineStr">
        <is>
          <t>0.0%</t>
        </is>
      </c>
      <c r="V53" s="2"/>
      <c r="W53" s="2" t="inlineStr">
        <is>
          <t>0₽</t>
        </is>
      </c>
      <c r="X53" s="2" t="n">
        <v>1.0</v>
      </c>
      <c r="Y53" s="2"/>
      <c r="Z53" s="2"/>
      <c r="AA53" s="3" t="inlineStr">
        <is>
          <t>2026-05-21
&lt; 1 个月</t>
        </is>
      </c>
      <c r="AB53" s="2" t="inlineStr">
        <is>
          <t>13200 g</t>
        </is>
      </c>
      <c r="AC53" s="2" t="inlineStr">
        <is>
          <t>70.836 L</t>
        </is>
      </c>
      <c r="AD53" s="2" t="inlineStr">
        <is>
          <t>chenjun</t>
        </is>
      </c>
      <c r="AE53" s="2" t="inlineStr">
        <is>
          <t>跨境卖家</t>
        </is>
      </c>
      <c r="AF53" s="2" t="inlineStr">
        <is>
          <t>RFBS</t>
        </is>
      </c>
      <c r="AG53" s="2" t="n">
        <v>3.0</v>
      </c>
    </row>
    <row r="54" customHeight="true" ht="64.0">
      <c r="A54" s="2" t="n">
        <v>53.0</v>
      </c>
      <c r="B54" s="2" t="inlineStr">
        <is>
          <t>https://ir.ozone.ru/s3/multimedia-1-x/wc300/10486524237.jpg</t>
        </is>
      </c>
      <c r="C54" s="2" t="n">
        <f>IF(ISERROR(IMAGE("https://ir.ozone.ru/s3/multimedia-1-x/wc300/10486524237.jpg")),"请使用新版Excel2024查看图片",IMAGE("https://ir.ozone.ru/s3/multimedia-1-x/wc300/10486524237.jpg"))</f>
        <v>0.0</v>
      </c>
      <c r="D54" s="2" t="inlineStr">
        <is>
          <t>Кофеварка капельная 7lcPvm-iV8Z, черный, золотой</t>
        </is>
      </c>
      <c r="E54" s="2" t="inlineStr">
        <is>
          <t>https://www.ozon.ru/product/4313691402</t>
        </is>
      </c>
      <c r="F54" s="2" t="n">
        <v>4.313691402E9</v>
      </c>
      <c r="G54" s="2" t="inlineStr">
        <is>
          <t/>
        </is>
      </c>
      <c r="H54" s="3" t="inlineStr">
        <is>
          <t>滴滤咖啡机
Кофеварка</t>
        </is>
      </c>
      <c r="I54" s="3" t="inlineStr">
        <is>
          <t>跨境卖家可售</t>
        </is>
      </c>
      <c r="J54" s="2" t="inlineStr">
        <is>
          <t>71104₽</t>
        </is>
      </c>
      <c r="K54" s="2" t="n">
        <v>12.0</v>
      </c>
      <c r="L54" s="2" t="inlineStr">
        <is>
          <t>592980₽</t>
        </is>
      </c>
      <c r="M54" s="2" t="inlineStr">
        <is>
          <t>100%</t>
        </is>
      </c>
      <c r="N54" s="2" t="inlineStr">
        <is>
          <t>100%</t>
        </is>
      </c>
      <c r="O54" s="2" t="inlineStr">
        <is>
          <t>58.7%</t>
        </is>
      </c>
      <c r="P54" s="2" t="n">
        <v>576.0</v>
      </c>
      <c r="Q54" s="2" t="n">
        <v>173.0</v>
      </c>
      <c r="R54" s="2" t="n">
        <v>177.0</v>
      </c>
      <c r="S54" s="2" t="inlineStr">
        <is>
          <t>0.56%</t>
        </is>
      </c>
      <c r="T54" s="2" t="inlineStr">
        <is>
          <t>1200.0%</t>
        </is>
      </c>
      <c r="U54" s="2" t="inlineStr">
        <is>
          <t>0.0%</t>
        </is>
      </c>
      <c r="V54" s="2"/>
      <c r="W54" s="2" t="inlineStr">
        <is>
          <t>0₽</t>
        </is>
      </c>
      <c r="X54" s="2" t="n">
        <v>1.0</v>
      </c>
      <c r="Y54" s="2"/>
      <c r="Z54" s="2"/>
      <c r="AA54" s="3" t="inlineStr">
        <is>
          <t>2026-05-15
1 个月</t>
        </is>
      </c>
      <c r="AB54" s="2" t="inlineStr">
        <is>
          <t>3650 g</t>
        </is>
      </c>
      <c r="AC54" s="2" t="inlineStr">
        <is>
          <t>1.807 L</t>
        </is>
      </c>
      <c r="AD54" s="2" t="inlineStr">
        <is>
          <t>XUYANG</t>
        </is>
      </c>
      <c r="AE54" s="2" t="inlineStr">
        <is>
          <t>跨境卖家</t>
        </is>
      </c>
      <c r="AF54" s="2" t="inlineStr">
        <is>
          <t>RFBS</t>
        </is>
      </c>
      <c r="AG54" s="2" t="n">
        <v>0.0</v>
      </c>
    </row>
    <row r="55" customHeight="true" ht="64.0">
      <c r="A55" s="2" t="n">
        <v>54.0</v>
      </c>
      <c r="B55" s="2" t="inlineStr">
        <is>
          <t>https://ir.ozone.ru/s3/multimedia-1-w/wc300/10684501844.jpg</t>
        </is>
      </c>
      <c r="C55" s="2" t="n">
        <f>IF(ISERROR(IMAGE("https://ir.ozone.ru/s3/multimedia-1-w/wc300/10684501844.jpg")),"请使用新版Excel2024查看图片",IMAGE("https://ir.ozone.ru/s3/multimedia-1-w/wc300/10684501844.jpg"))</f>
        <v>0.0</v>
      </c>
      <c r="D55" s="2" t="inlineStr">
        <is>
          <t>Sony Смартфон Sony Xperia1 VIII XQ-GE74 12+512GB Garnet Red Global 12/512 ГБ, Nano-SIM, коричнево-красный</t>
        </is>
      </c>
      <c r="E55" s="2" t="inlineStr">
        <is>
          <t>https://www.ozon.ru/product/4374759685</t>
        </is>
      </c>
      <c r="F55" s="2" t="n">
        <v>4.374759685E9</v>
      </c>
      <c r="G55" s="2" t="inlineStr">
        <is>
          <t>Sony</t>
        </is>
      </c>
      <c r="H55" s="3" t="inlineStr">
        <is>
          <t>智能手机
Смартфон</t>
        </is>
      </c>
      <c r="I55" s="3" t="inlineStr">
        <is>
          <t>跨境卖家可售</t>
        </is>
      </c>
      <c r="J55" s="2" t="inlineStr">
        <is>
          <t>98631₽</t>
        </is>
      </c>
      <c r="K55" s="2" t="n">
        <v>6.0</v>
      </c>
      <c r="L55" s="2" t="inlineStr">
        <is>
          <t>591786₽</t>
        </is>
      </c>
      <c r="M55" s="2" t="inlineStr">
        <is>
          <t>100%</t>
        </is>
      </c>
      <c r="N55" s="2" t="inlineStr">
        <is>
          <t>100%</t>
        </is>
      </c>
      <c r="O55" s="2" t="inlineStr">
        <is>
          <t>57.3%</t>
        </is>
      </c>
      <c r="P55" s="2" t="n">
        <v>8082.0</v>
      </c>
      <c r="Q55" s="2" t="n">
        <v>831.0</v>
      </c>
      <c r="R55" s="2" t="n">
        <v>2461.0</v>
      </c>
      <c r="S55" s="2" t="inlineStr">
        <is>
          <t>2.84%</t>
        </is>
      </c>
      <c r="T55" s="2" t="inlineStr">
        <is>
          <t>8.6%</t>
        </is>
      </c>
      <c r="U55" s="2" t="inlineStr">
        <is>
          <t>0.0%</t>
        </is>
      </c>
      <c r="V55" s="2"/>
      <c r="W55" s="2" t="inlineStr">
        <is>
          <t>0₽</t>
        </is>
      </c>
      <c r="X55" s="2" t="n">
        <v>8.0</v>
      </c>
      <c r="Y55" s="2" t="n">
        <v>7.0</v>
      </c>
      <c r="Z55" s="2"/>
      <c r="AA55" s="3" t="inlineStr">
        <is>
          <t>2026-05-20
&lt; 1 个月</t>
        </is>
      </c>
      <c r="AB55" s="2" t="inlineStr">
        <is>
          <t>280 g</t>
        </is>
      </c>
      <c r="AC55" s="2" t="inlineStr">
        <is>
          <t>0.122 L</t>
        </is>
      </c>
      <c r="AD55" s="2" t="inlineStr">
        <is>
          <t>MOS Premium Store</t>
        </is>
      </c>
      <c r="AE55" s="2" t="inlineStr">
        <is>
          <t>跨境卖家</t>
        </is>
      </c>
      <c r="AF55" s="2" t="inlineStr">
        <is>
          <t>RFBS</t>
        </is>
      </c>
      <c r="AG55" s="2" t="n">
        <v>24.0</v>
      </c>
    </row>
    <row r="56" customHeight="true" ht="64.0">
      <c r="A56" s="2" t="n">
        <v>55.0</v>
      </c>
      <c r="B56" s="2" t="inlineStr">
        <is>
          <t>https://ir.ozone.ru/s3/multimedia-1-3/wc300/11050190607.jpg</t>
        </is>
      </c>
      <c r="C56" s="2" t="n">
        <f>IF(ISERROR(IMAGE("https://ir.ozone.ru/s3/multimedia-1-3/wc300/11050190607.jpg")),"请使用新版Excel2024查看图片",IMAGE("https://ir.ozone.ru/s3/multimedia-1-3/wc300/11050190607.jpg"))</f>
        <v>0.0</v>
      </c>
      <c r="D56" s="2" t="inlineStr">
        <is>
          <t>Pirelli P Zero PZ4 Шины летние 265/30  R21 96Y</t>
        </is>
      </c>
      <c r="E56" s="2" t="inlineStr">
        <is>
          <t>https://www.ozon.ru/product/4545789579</t>
        </is>
      </c>
      <c r="F56" s="2" t="n">
        <v>4.545789579E9</v>
      </c>
      <c r="G56" s="2" t="inlineStr">
        <is>
          <t/>
        </is>
      </c>
      <c r="H56" s="3" t="inlineStr">
        <is>
          <t>乘用车轮胎
Шины для легковых автомобилей</t>
        </is>
      </c>
      <c r="I56" s="3" t="inlineStr">
        <is>
          <t>跨境卖家可售</t>
        </is>
      </c>
      <c r="J56" s="2" t="inlineStr">
        <is>
          <t>147063₽</t>
        </is>
      </c>
      <c r="K56" s="2" t="n">
        <v>4.0</v>
      </c>
      <c r="L56" s="2" t="inlineStr">
        <is>
          <t>588252₽</t>
        </is>
      </c>
      <c r="M56" s="2" t="inlineStr">
        <is>
          <t>100%</t>
        </is>
      </c>
      <c r="N56" s="2" t="inlineStr">
        <is>
          <t>100%</t>
        </is>
      </c>
      <c r="O56" s="2" t="inlineStr">
        <is>
          <t>58.9%</t>
        </is>
      </c>
      <c r="P56" s="2" t="n">
        <v>44.0</v>
      </c>
      <c r="Q56" s="2" t="n">
        <v>13.0</v>
      </c>
      <c r="R56" s="2" t="n">
        <v>9.0</v>
      </c>
      <c r="S56" s="2" t="inlineStr">
        <is>
          <t>11.11%</t>
        </is>
      </c>
      <c r="T56" s="2" t="inlineStr">
        <is>
          <t>400.0%</t>
        </is>
      </c>
      <c r="U56" s="2" t="inlineStr">
        <is>
          <t>0.0%</t>
        </is>
      </c>
      <c r="V56" s="2"/>
      <c r="W56" s="2" t="inlineStr">
        <is>
          <t>0₽</t>
        </is>
      </c>
      <c r="X56" s="2" t="n">
        <v>1.0</v>
      </c>
      <c r="Y56" s="2"/>
      <c r="Z56" s="2"/>
      <c r="AA56" s="3" t="inlineStr">
        <is>
          <t>2026-06-02
&lt; 1 个月</t>
        </is>
      </c>
      <c r="AB56" s="2" t="inlineStr">
        <is>
          <t>10000 g</t>
        </is>
      </c>
      <c r="AC56" s="2" t="inlineStr">
        <is>
          <t>256 L</t>
        </is>
      </c>
      <c r="AD56" s="2" t="inlineStr">
        <is>
          <t>Франчайзинговый магазин шин</t>
        </is>
      </c>
      <c r="AE56" s="2" t="inlineStr">
        <is>
          <t>跨境卖家</t>
        </is>
      </c>
      <c r="AF56" s="2" t="inlineStr">
        <is>
          <t>RFBS</t>
        </is>
      </c>
      <c r="AG56" s="2" t="n">
        <v>0.0</v>
      </c>
    </row>
    <row r="57" customHeight="true" ht="64.0">
      <c r="A57" s="2" t="n">
        <v>56.0</v>
      </c>
      <c r="B57" s="2" t="inlineStr">
        <is>
          <t>https://ir.ozone.ru/s3/multimedia-1-g/wc300/10491181144.jpg</t>
        </is>
      </c>
      <c r="C57" s="2" t="n">
        <f>IF(ISERROR(IMAGE("https://ir.ozone.ru/s3/multimedia-1-g/wc300/10491181144.jpg")),"请使用新版Excel2024查看图片",IMAGE("https://ir.ozone.ru/s3/multimedia-1-g/wc300/10491181144.jpg"))</f>
        <v>0.0</v>
      </c>
      <c r="D57" s="2" t="inlineStr">
        <is>
          <t>ASUS 27" Монитор XG27AQDMES-P 27" 2K 240hz QD-OLED, QD-OLED, 2560x1440 2K, 240 Гц, черный матовый, черно-серый</t>
        </is>
      </c>
      <c r="E57" s="2" t="inlineStr">
        <is>
          <t>https://www.ozon.ru/product/4315713504</t>
        </is>
      </c>
      <c r="F57" s="2" t="n">
        <v>4.315713504E9</v>
      </c>
      <c r="G57" s="2" t="inlineStr">
        <is>
          <t/>
        </is>
      </c>
      <c r="H57" s="3" t="inlineStr">
        <is>
          <t>显示器
Монитор</t>
        </is>
      </c>
      <c r="I57" s="3" t="inlineStr">
        <is>
          <t>跨境卖家可售</t>
        </is>
      </c>
      <c r="J57" s="2" t="inlineStr">
        <is>
          <t>29222₽</t>
        </is>
      </c>
      <c r="K57" s="2" t="n">
        <v>20.0</v>
      </c>
      <c r="L57" s="2" t="inlineStr">
        <is>
          <t>584440₽</t>
        </is>
      </c>
      <c r="M57" s="2" t="inlineStr">
        <is>
          <t>100%</t>
        </is>
      </c>
      <c r="N57" s="2" t="inlineStr">
        <is>
          <t>100%</t>
        </is>
      </c>
      <c r="O57" s="2" t="inlineStr">
        <is>
          <t/>
        </is>
      </c>
      <c r="P57" s="2" t="n">
        <v>15635.0</v>
      </c>
      <c r="Q57" s="2" t="n">
        <v>6100.0</v>
      </c>
      <c r="R57" s="2" t="n">
        <v>3600.0</v>
      </c>
      <c r="S57" s="2" t="inlineStr">
        <is>
          <t>5.19%</t>
        </is>
      </c>
      <c r="T57" s="2" t="inlineStr">
        <is>
          <t>10.7%</t>
        </is>
      </c>
      <c r="U57" s="2" t="inlineStr">
        <is>
          <t>0.56%</t>
        </is>
      </c>
      <c r="V57" s="2"/>
      <c r="W57" s="2" t="inlineStr">
        <is>
          <t>0₽</t>
        </is>
      </c>
      <c r="X57" s="2" t="n">
        <v>1.0</v>
      </c>
      <c r="Y57" s="2"/>
      <c r="Z57" s="2"/>
      <c r="AA57" s="3" t="inlineStr">
        <is>
          <t>2026-05-15
1 个月</t>
        </is>
      </c>
      <c r="AB57" s="2" t="inlineStr">
        <is>
          <t/>
        </is>
      </c>
      <c r="AC57" s="2" t="inlineStr">
        <is>
          <t/>
        </is>
      </c>
      <c r="AD57" s="2" t="inlineStr">
        <is>
          <t>RFCLUB</t>
        </is>
      </c>
      <c r="AE57" s="2" t="inlineStr">
        <is>
          <t>跨境卖家</t>
        </is>
      </c>
      <c r="AF57" s="2" t="inlineStr">
        <is>
          <t>RFBS</t>
        </is>
      </c>
      <c r="AG57" s="2" t="n">
        <v>0.0</v>
      </c>
    </row>
    <row r="58" customHeight="true" ht="64.0">
      <c r="A58" s="2" t="n">
        <v>57.0</v>
      </c>
      <c r="B58" s="2" t="inlineStr">
        <is>
          <t>https://ir.ozone.ru/s3/multimedia-1-l/wc300/9567787989.jpg</t>
        </is>
      </c>
      <c r="C58" s="2" t="n">
        <f>IF(ISERROR(IMAGE("https://ir.ozone.ru/s3/multimedia-1-l/wc300/9567787989.jpg")),"请使用新版Excel2024查看图片",IMAGE("https://ir.ozone.ru/s3/multimedia-1-l/wc300/9567787989.jpg"))</f>
        <v>0.0</v>
      </c>
      <c r="D58" s="2" t="inlineStr">
        <is>
          <t>Принтер термо</t>
        </is>
      </c>
      <c r="E58" s="2" t="inlineStr">
        <is>
          <t>https://www.ozon.ru/product/4373803485</t>
        </is>
      </c>
      <c r="F58" s="2" t="n">
        <v>4.373803485E9</v>
      </c>
      <c r="G58" s="2" t="inlineStr">
        <is>
          <t/>
        </is>
      </c>
      <c r="H58" s="3" t="inlineStr">
        <is>
          <t>复印机
Копировальный аппарат</t>
        </is>
      </c>
      <c r="I58" s="3" t="inlineStr">
        <is>
          <t>跨境卖家可售</t>
        </is>
      </c>
      <c r="J58" s="2" t="inlineStr">
        <is>
          <t>64183₽</t>
        </is>
      </c>
      <c r="K58" s="2" t="n">
        <v>9.0</v>
      </c>
      <c r="L58" s="2" t="inlineStr">
        <is>
          <t>577647₽</t>
        </is>
      </c>
      <c r="M58" s="2" t="inlineStr">
        <is>
          <t>100%</t>
        </is>
      </c>
      <c r="N58" s="2" t="inlineStr">
        <is>
          <t>100%</t>
        </is>
      </c>
      <c r="O58" s="2" t="inlineStr">
        <is>
          <t>52.7%</t>
        </is>
      </c>
      <c r="P58" s="2" t="n">
        <v>2255.0</v>
      </c>
      <c r="Q58" s="2" t="n">
        <v>475.0</v>
      </c>
      <c r="R58" s="2" t="n">
        <v>767.0</v>
      </c>
      <c r="S58" s="2" t="inlineStr">
        <is>
          <t>3.12%</t>
        </is>
      </c>
      <c r="T58" s="2" t="inlineStr">
        <is>
          <t>37.5%</t>
        </is>
      </c>
      <c r="U58" s="2" t="inlineStr">
        <is>
          <t>0.0%</t>
        </is>
      </c>
      <c r="V58" s="2"/>
      <c r="W58" s="2" t="inlineStr">
        <is>
          <t>0₽</t>
        </is>
      </c>
      <c r="X58" s="2" t="n">
        <v>1.0</v>
      </c>
      <c r="Y58" s="2"/>
      <c r="Z58" s="2"/>
      <c r="AA58" s="3" t="inlineStr">
        <is>
          <t>2026-05-20
&lt; 1 个月</t>
        </is>
      </c>
      <c r="AB58" s="2" t="inlineStr">
        <is>
          <t>18000 g</t>
        </is>
      </c>
      <c r="AC58" s="2" t="inlineStr">
        <is>
          <t>146.457 L</t>
        </is>
      </c>
      <c r="AD58" s="2" t="inlineStr">
        <is>
          <t>ЦифраПро</t>
        </is>
      </c>
      <c r="AE58" s="2" t="inlineStr">
        <is>
          <t>跨境卖家</t>
        </is>
      </c>
      <c r="AF58" s="2" t="inlineStr">
        <is>
          <t>RFBS</t>
        </is>
      </c>
      <c r="AG58" s="2" t="n">
        <v>1.0</v>
      </c>
    </row>
    <row r="59" customHeight="true" ht="64.0">
      <c r="A59" s="2" t="n">
        <v>58.0</v>
      </c>
      <c r="B59" s="2" t="inlineStr">
        <is>
          <t>https://ir.ozone.ru/s3/multimedia-1-x/wc300/10642727877.jpg</t>
        </is>
      </c>
      <c r="C59" s="2" t="n">
        <f>IF(ISERROR(IMAGE("https://ir.ozone.ru/s3/multimedia-1-x/wc300/10642727877.jpg")),"请使用新版Excel2024查看图片",IMAGE("https://ir.ozone.ru/s3/multimedia-1-x/wc300/10642727877.jpg"))</f>
        <v>0.0</v>
      </c>
      <c r="D59" s="2" t="inlineStr">
        <is>
          <t>Аксессуары для кальяна, 1шт</t>
        </is>
      </c>
      <c r="E59" s="2" t="inlineStr">
        <is>
          <t>https://www.ozon.ru/product/4382500866</t>
        </is>
      </c>
      <c r="F59" s="2" t="n">
        <v>4.382500866E9</v>
      </c>
      <c r="G59" s="2" t="inlineStr">
        <is>
          <t/>
        </is>
      </c>
      <c r="H59" s="3" t="inlineStr">
        <is>
          <t>烟草储存配件
Аксессуар для хранения табака</t>
        </is>
      </c>
      <c r="I59" s="3" t="inlineStr">
        <is>
          <t>跨境卖家可售</t>
        </is>
      </c>
      <c r="J59" s="2" t="inlineStr">
        <is>
          <t>12967₽</t>
        </is>
      </c>
      <c r="K59" s="2" t="n">
        <v>44.0</v>
      </c>
      <c r="L59" s="2" t="inlineStr">
        <is>
          <t>576845₽</t>
        </is>
      </c>
      <c r="M59" s="2" t="inlineStr">
        <is>
          <t>100%</t>
        </is>
      </c>
      <c r="N59" s="2" t="inlineStr">
        <is>
          <t>100%</t>
        </is>
      </c>
      <c r="O59" s="2" t="inlineStr">
        <is>
          <t>49.5%</t>
        </is>
      </c>
      <c r="P59" s="2" t="n">
        <v>12813.0</v>
      </c>
      <c r="Q59" s="2" t="n">
        <v>5903.0</v>
      </c>
      <c r="R59" s="2" t="n">
        <v>2958.0</v>
      </c>
      <c r="S59" s="2" t="inlineStr">
        <is>
          <t>6.96%</t>
        </is>
      </c>
      <c r="T59" s="2" t="inlineStr">
        <is>
          <t>21.4%</t>
        </is>
      </c>
      <c r="U59" s="2" t="inlineStr">
        <is>
          <t>0.0%</t>
        </is>
      </c>
      <c r="V59" s="2"/>
      <c r="W59" s="2" t="inlineStr">
        <is>
          <t>0₽</t>
        </is>
      </c>
      <c r="X59" s="2" t="n">
        <v>1.0</v>
      </c>
      <c r="Y59" s="2"/>
      <c r="Z59" s="2"/>
      <c r="AA59" s="3" t="inlineStr">
        <is>
          <t>2026-05-20
&lt; 1 个月</t>
        </is>
      </c>
      <c r="AB59" s="2" t="inlineStr">
        <is>
          <t>3800 g</t>
        </is>
      </c>
      <c r="AC59" s="2" t="inlineStr">
        <is>
          <t>17.532 L</t>
        </is>
      </c>
      <c r="AD59" s="2" t="inlineStr">
        <is>
          <t>YOYO STORE</t>
        </is>
      </c>
      <c r="AE59" s="2" t="inlineStr">
        <is>
          <t>跨境卖家</t>
        </is>
      </c>
      <c r="AF59" s="2" t="inlineStr">
        <is>
          <t>RFBS</t>
        </is>
      </c>
      <c r="AG59" s="2" t="n">
        <v>13.0</v>
      </c>
    </row>
    <row r="60" customHeight="true" ht="64.0">
      <c r="A60" s="2" t="n">
        <v>59.0</v>
      </c>
      <c r="B60" s="2" t="inlineStr">
        <is>
          <t>https://ir.ozone.ru/s3/multimedia-1-n/wc300/10623998975.jpg</t>
        </is>
      </c>
      <c r="C60" s="2" t="n">
        <f>IF(ISERROR(IMAGE("https://ir.ozone.ru/s3/multimedia-1-n/wc300/10623998975.jpg")),"请使用新版Excel2024查看图片",IMAGE("https://ir.ozone.ru/s3/multimedia-1-n/wc300/10623998975.jpg"))</f>
        <v>0.0</v>
      </c>
      <c r="D60" s="2" t="inlineStr">
        <is>
          <t>Конструктор LEGO Shrek 72423 Монстр Шрек осел и кот в сапогах</t>
        </is>
      </c>
      <c r="E60" s="2" t="inlineStr">
        <is>
          <t>https://www.ozon.ru/product/4375738144</t>
        </is>
      </c>
      <c r="F60" s="2" t="n">
        <v>4.375738144E9</v>
      </c>
      <c r="G60" s="2" t="inlineStr">
        <is>
          <t>LEGO</t>
        </is>
      </c>
      <c r="H60" s="3" t="inlineStr">
        <is>
          <t>积木
Конструктор</t>
        </is>
      </c>
      <c r="I60" s="3" t="inlineStr">
        <is>
          <t>跨境卖家可售</t>
        </is>
      </c>
      <c r="J60" s="2" t="inlineStr">
        <is>
          <t>13698₽</t>
        </is>
      </c>
      <c r="K60" s="2" t="n">
        <v>36.0</v>
      </c>
      <c r="L60" s="2" t="inlineStr">
        <is>
          <t>576418₽</t>
        </is>
      </c>
      <c r="M60" s="2" t="inlineStr">
        <is>
          <t>100%</t>
        </is>
      </c>
      <c r="N60" s="2" t="inlineStr">
        <is>
          <t>100%</t>
        </is>
      </c>
      <c r="O60" s="2" t="inlineStr">
        <is>
          <t>50%</t>
        </is>
      </c>
      <c r="P60" s="2" t="n">
        <v>10405.0</v>
      </c>
      <c r="Q60" s="2" t="n">
        <v>876.0</v>
      </c>
      <c r="R60" s="2" t="n">
        <v>1866.0</v>
      </c>
      <c r="S60" s="2" t="inlineStr">
        <is>
          <t>5.62%</t>
        </is>
      </c>
      <c r="T60" s="2" t="inlineStr">
        <is>
          <t>34.3%</t>
        </is>
      </c>
      <c r="U60" s="2" t="inlineStr">
        <is>
          <t>0.0%</t>
        </is>
      </c>
      <c r="V60" s="2"/>
      <c r="W60" s="2" t="inlineStr">
        <is>
          <t>0₽</t>
        </is>
      </c>
      <c r="X60" s="2" t="n">
        <v>6.0</v>
      </c>
      <c r="Y60" s="2" t="n">
        <v>1751.0</v>
      </c>
      <c r="Z60" s="2" t="inlineStr">
        <is>
          <t>5.0</t>
        </is>
      </c>
      <c r="AA60" s="3" t="inlineStr">
        <is>
          <t>2026-05-20
&lt; 1 个月</t>
        </is>
      </c>
      <c r="AB60" s="2" t="inlineStr">
        <is>
          <t>1500 g</t>
        </is>
      </c>
      <c r="AC60" s="2" t="inlineStr">
        <is>
          <t>9.408 L</t>
        </is>
      </c>
      <c r="AD60" s="2" t="inlineStr">
        <is>
          <t>LeYi Toys</t>
        </is>
      </c>
      <c r="AE60" s="2" t="inlineStr">
        <is>
          <t>跨境卖家</t>
        </is>
      </c>
      <c r="AF60" s="2" t="inlineStr">
        <is>
          <t>RFBS</t>
        </is>
      </c>
      <c r="AG60" s="2" t="n">
        <v>191.0</v>
      </c>
    </row>
    <row r="61" customHeight="true" ht="64.0">
      <c r="A61" s="2" t="n">
        <v>60.0</v>
      </c>
      <c r="B61" s="2" t="inlineStr">
        <is>
          <t>https://ir.ozone.ru/s3/multimedia-1-z/wc300/10637444447.jpg</t>
        </is>
      </c>
      <c r="C61" s="2" t="n">
        <f>IF(ISERROR(IMAGE("https://ir.ozone.ru/s3/multimedia-1-z/wc300/10637444447.jpg")),"请使用新版Excel2024查看图片",IMAGE("https://ir.ozone.ru/s3/multimedia-1-z/wc300/10637444447.jpg"))</f>
        <v>0.0</v>
      </c>
      <c r="D61" s="2" t="inlineStr">
        <is>
          <t>Bambu AMS 2 Pro Автоматическая система подачи, интеллектуальное многоцветное обновление и обновление нескольких материалов Сушка новых продуктов</t>
        </is>
      </c>
      <c r="E61" s="2" t="inlineStr">
        <is>
          <t>https://www.ozon.ru/product/4381042431</t>
        </is>
      </c>
      <c r="F61" s="2" t="n">
        <v>4.381042431E9</v>
      </c>
      <c r="G61" s="2" t="inlineStr">
        <is>
          <t/>
        </is>
      </c>
      <c r="H61" s="3" t="inlineStr">
        <is>
          <t>3D打印笔配件
Аксессуар для 3D-ручки</t>
        </is>
      </c>
      <c r="I61" s="3" t="inlineStr">
        <is>
          <t>跨境卖家可售</t>
        </is>
      </c>
      <c r="J61" s="2" t="inlineStr">
        <is>
          <t>23507₽</t>
        </is>
      </c>
      <c r="K61" s="2" t="n">
        <v>23.0</v>
      </c>
      <c r="L61" s="2" t="inlineStr">
        <is>
          <t>552563₽</t>
        </is>
      </c>
      <c r="M61" s="2" t="inlineStr">
        <is>
          <t>100%</t>
        </is>
      </c>
      <c r="N61" s="2" t="inlineStr">
        <is>
          <t>100%</t>
        </is>
      </c>
      <c r="O61" s="2" t="inlineStr">
        <is>
          <t>52.2%</t>
        </is>
      </c>
      <c r="P61" s="2" t="n">
        <v>6436.0</v>
      </c>
      <c r="Q61" s="2" t="n">
        <v>189.0</v>
      </c>
      <c r="R61" s="2" t="n">
        <v>3987.0</v>
      </c>
      <c r="S61" s="2" t="inlineStr">
        <is>
          <t>2.0%</t>
        </is>
      </c>
      <c r="T61" s="2" t="inlineStr">
        <is>
          <t>28.8%</t>
        </is>
      </c>
      <c r="U61" s="2" t="inlineStr">
        <is>
          <t>0.0%</t>
        </is>
      </c>
      <c r="V61" s="2"/>
      <c r="W61" s="2" t="inlineStr">
        <is>
          <t>0₽</t>
        </is>
      </c>
      <c r="X61" s="2" t="n">
        <v>1.0</v>
      </c>
      <c r="Y61" s="2" t="n">
        <v>85.0</v>
      </c>
      <c r="Z61" s="2" t="inlineStr">
        <is>
          <t>4.8</t>
        </is>
      </c>
      <c r="AA61" s="3" t="inlineStr">
        <is>
          <t>2026-05-20
&lt; 1 个月</t>
        </is>
      </c>
      <c r="AB61" s="2" t="inlineStr">
        <is>
          <t>4020 g</t>
        </is>
      </c>
      <c r="AC61" s="2" t="inlineStr">
        <is>
          <t>47.25 L</t>
        </is>
      </c>
      <c r="AD61" s="2" t="inlineStr">
        <is>
          <t>sumaotong</t>
        </is>
      </c>
      <c r="AE61" s="2" t="inlineStr">
        <is>
          <t>跨境卖家</t>
        </is>
      </c>
      <c r="AF61" s="2" t="inlineStr">
        <is>
          <t>RFBS</t>
        </is>
      </c>
      <c r="AG61" s="2" t="n">
        <v>69.0</v>
      </c>
    </row>
    <row r="62" customHeight="true" ht="64.0">
      <c r="A62" s="2" t="n">
        <v>61.0</v>
      </c>
      <c r="B62" s="2" t="inlineStr">
        <is>
          <t>https://ir.ozone.ru/s3/multimedia-1-9/wc300/10873477233.jpg</t>
        </is>
      </c>
      <c r="C62" s="2" t="n">
        <f>IF(ISERROR(IMAGE("https://ir.ozone.ru/s3/multimedia-1-9/wc300/10873477233.jpg")),"请使用新版Excel2024查看图片",IMAGE("https://ir.ozone.ru/s3/multimedia-1-9/wc300/10873477233.jpg"))</f>
        <v>0.0</v>
      </c>
      <c r="D62" s="2" t="inlineStr">
        <is>
          <t>Амани(Ограниченный выпуск);14"RubyRedFashionFriends-Коллекционная кукла-Два комплекта одежды, три пары сережек! Майка+рубашка+юбка с запахомсеро-зелен</t>
        </is>
      </c>
      <c r="E62" s="2" t="inlineStr">
        <is>
          <t>https://www.ozon.ru/product/4472372087</t>
        </is>
      </c>
      <c r="F62" s="2" t="n">
        <v>4.472372087E9</v>
      </c>
      <c r="G62" s="2" t="inlineStr">
        <is>
          <t/>
        </is>
      </c>
      <c r="H62" s="3" t="inlineStr">
        <is>
          <t>娃娃
Кукла</t>
        </is>
      </c>
      <c r="I62" s="3" t="inlineStr">
        <is>
          <t>跨境卖家可售</t>
        </is>
      </c>
      <c r="J62" s="2" t="inlineStr">
        <is>
          <t>12394₽</t>
        </is>
      </c>
      <c r="K62" s="2" t="n">
        <v>44.0</v>
      </c>
      <c r="L62" s="2" t="inlineStr">
        <is>
          <t>545336₽</t>
        </is>
      </c>
      <c r="M62" s="2" t="inlineStr">
        <is>
          <t>100%</t>
        </is>
      </c>
      <c r="N62" s="2" t="inlineStr">
        <is>
          <t>100%</t>
        </is>
      </c>
      <c r="O62" s="2" t="inlineStr">
        <is>
          <t/>
        </is>
      </c>
      <c r="P62" s="2" t="n">
        <v>18712.0</v>
      </c>
      <c r="Q62" s="2" t="n">
        <v>983.0</v>
      </c>
      <c r="R62" s="2" t="n">
        <v>12001.0</v>
      </c>
      <c r="S62" s="2" t="inlineStr">
        <is>
          <t>0.7%</t>
        </is>
      </c>
      <c r="T62" s="2" t="inlineStr">
        <is>
          <t>52.4%</t>
        </is>
      </c>
      <c r="U62" s="2" t="inlineStr">
        <is>
          <t>0.0%</t>
        </is>
      </c>
      <c r="V62" s="2"/>
      <c r="W62" s="2" t="inlineStr">
        <is>
          <t>0₽</t>
        </is>
      </c>
      <c r="X62" s="2" t="n">
        <v>1.0</v>
      </c>
      <c r="Y62" s="2"/>
      <c r="Z62" s="2"/>
      <c r="AA62" s="3" t="inlineStr">
        <is>
          <t>2026-05-28
&lt; 1 个月</t>
        </is>
      </c>
      <c r="AB62" s="2" t="inlineStr">
        <is>
          <t/>
        </is>
      </c>
      <c r="AC62" s="2" t="inlineStr">
        <is>
          <t/>
        </is>
      </c>
      <c r="AD62" s="2" t="inlineStr">
        <is>
          <t>Ruby Red Dolls</t>
        </is>
      </c>
      <c r="AE62" s="2" t="inlineStr">
        <is>
          <t>跨境卖家</t>
        </is>
      </c>
      <c r="AF62" s="2" t="inlineStr">
        <is>
          <t>RFBS</t>
        </is>
      </c>
      <c r="AG62" s="2" t="n">
        <v>0.0</v>
      </c>
    </row>
    <row r="63" customHeight="true" ht="64.0">
      <c r="A63" s="2" t="n">
        <v>62.0</v>
      </c>
      <c r="B63" s="2" t="inlineStr">
        <is>
          <t>https://ir.ozone.ru/s3/multimedia-1-t/wc300/10812604493.jpg</t>
        </is>
      </c>
      <c r="C63" s="2" t="n">
        <f>IF(ISERROR(IMAGE("https://ir.ozone.ru/s3/multimedia-1-t/wc300/10812604493.jpg")),"请使用新版Excel2024查看图片",IMAGE("https://ir.ozone.ru/s3/multimedia-1-t/wc300/10812604493.jpg"))</f>
        <v>0.0</v>
      </c>
      <c r="D63" s="2" t="inlineStr">
        <is>
          <t>Литиевый аккумулятор KingTree 21 В 9,0 Ач для электроинструментов Подходит для Makita+ зарядное устройство</t>
        </is>
      </c>
      <c r="E63" s="2" t="inlineStr">
        <is>
          <t>https://www.ozon.ru/product/4447272692</t>
        </is>
      </c>
      <c r="F63" s="2" t="n">
        <v>4.447272692E9</v>
      </c>
      <c r="G63" s="2" t="inlineStr">
        <is>
          <t>KingTree</t>
        </is>
      </c>
      <c r="H63" s="3" t="inlineStr">
        <is>
          <t>工具电池
Аккумулятор для инструмента</t>
        </is>
      </c>
      <c r="I63" s="3" t="inlineStr">
        <is>
          <t>跨境卖家可售</t>
        </is>
      </c>
      <c r="J63" s="2" t="inlineStr">
        <is>
          <t>1195₽</t>
        </is>
      </c>
      <c r="K63" s="2" t="n">
        <v>401.0</v>
      </c>
      <c r="L63" s="2" t="inlineStr">
        <is>
          <t>529881₽</t>
        </is>
      </c>
      <c r="M63" s="2" t="inlineStr">
        <is>
          <t>100%</t>
        </is>
      </c>
      <c r="N63" s="2" t="inlineStr">
        <is>
          <t>100%</t>
        </is>
      </c>
      <c r="O63" s="2" t="inlineStr">
        <is>
          <t>55%</t>
        </is>
      </c>
      <c r="P63" s="2" t="n">
        <v>90816.0</v>
      </c>
      <c r="Q63" s="2" t="n">
        <v>17619.0</v>
      </c>
      <c r="R63" s="2" t="n">
        <v>18114.0</v>
      </c>
      <c r="S63" s="2" t="inlineStr">
        <is>
          <t>8.54%</t>
        </is>
      </c>
      <c r="T63" s="2" t="inlineStr">
        <is>
          <t>25.9%</t>
        </is>
      </c>
      <c r="U63" s="2" t="inlineStr">
        <is>
          <t>2.19%</t>
        </is>
      </c>
      <c r="V63" s="2"/>
      <c r="W63" s="2" t="inlineStr">
        <is>
          <t>0₽</t>
        </is>
      </c>
      <c r="X63" s="2" t="n">
        <v>2.0</v>
      </c>
      <c r="Y63" s="2" t="n">
        <v>5491.0</v>
      </c>
      <c r="Z63" s="2" t="inlineStr">
        <is>
          <t>4.8</t>
        </is>
      </c>
      <c r="AA63" s="3" t="inlineStr">
        <is>
          <t>2026-05-26
&lt; 1 个月</t>
        </is>
      </c>
      <c r="AB63" s="2" t="inlineStr">
        <is>
          <t>900 g</t>
        </is>
      </c>
      <c r="AC63" s="2" t="inlineStr">
        <is>
          <t>6.003 L</t>
        </is>
      </c>
      <c r="AD63" s="2" t="inlineStr">
        <is>
          <t>Кингтри Электроинструментный Мир</t>
        </is>
      </c>
      <c r="AE63" s="2" t="inlineStr">
        <is>
          <t>跨境卖家</t>
        </is>
      </c>
      <c r="AF63" s="2" t="inlineStr">
        <is>
          <t>RFBS</t>
        </is>
      </c>
      <c r="AG63" s="2" t="n">
        <v>257.0</v>
      </c>
    </row>
    <row r="64" customHeight="true" ht="64.0">
      <c r="A64" s="2" t="n">
        <v>63.0</v>
      </c>
      <c r="B64" s="2" t="inlineStr">
        <is>
          <t>https://ir.ozone.ru/s3/multimedia-1-i/wc300/10884680946.jpg</t>
        </is>
      </c>
      <c r="C64" s="2" t="n">
        <f>IF(ISERROR(IMAGE("https://ir.ozone.ru/s3/multimedia-1-i/wc300/10884680946.jpg")),"请使用新版Excel2024查看图片",IMAGE("https://ir.ozone.ru/s3/multimedia-1-i/wc300/10884680946.jpg"))</f>
        <v>0.0</v>
      </c>
      <c r="D64" s="2" t="inlineStr">
        <is>
          <t>LISM Кресло-шезлонг176x60x33 J см</t>
        </is>
      </c>
      <c r="E64" s="2" t="inlineStr">
        <is>
          <t>https://www.ozon.ru/product/4414016724</t>
        </is>
      </c>
      <c r="F64" s="2" t="n">
        <v>4.414016724E9</v>
      </c>
      <c r="G64" s="2" t="inlineStr">
        <is>
          <t>LISM</t>
        </is>
      </c>
      <c r="H64" s="3" t="inlineStr">
        <is>
          <t>折叠式旅游椅
Стул складной туристический</t>
        </is>
      </c>
      <c r="I64" s="3" t="inlineStr">
        <is>
          <t>跨境卖家可售</t>
        </is>
      </c>
      <c r="J64" s="2" t="inlineStr">
        <is>
          <t>5731₽</t>
        </is>
      </c>
      <c r="K64" s="2" t="n">
        <v>90.0</v>
      </c>
      <c r="L64" s="2" t="inlineStr">
        <is>
          <t>510859₽</t>
        </is>
      </c>
      <c r="M64" s="2" t="inlineStr">
        <is>
          <t>100%</t>
        </is>
      </c>
      <c r="N64" s="2" t="inlineStr">
        <is>
          <t>100%</t>
        </is>
      </c>
      <c r="O64" s="2" t="inlineStr">
        <is>
          <t>48%</t>
        </is>
      </c>
      <c r="P64" s="2" t="n">
        <v>48209.0</v>
      </c>
      <c r="Q64" s="2" t="n">
        <v>19708.0</v>
      </c>
      <c r="R64" s="2" t="n">
        <v>13941.0</v>
      </c>
      <c r="S64" s="2" t="inlineStr">
        <is>
          <t>6.5%</t>
        </is>
      </c>
      <c r="T64" s="2" t="inlineStr">
        <is>
          <t>9.9%</t>
        </is>
      </c>
      <c r="U64" s="2" t="inlineStr">
        <is>
          <t>0.73%</t>
        </is>
      </c>
      <c r="V64" s="2"/>
      <c r="W64" s="2" t="inlineStr">
        <is>
          <t>0₽</t>
        </is>
      </c>
      <c r="X64" s="2" t="n">
        <v>6.0</v>
      </c>
      <c r="Y64" s="2" t="n">
        <v>1111.0</v>
      </c>
      <c r="Z64" s="2" t="inlineStr">
        <is>
          <t>4.8</t>
        </is>
      </c>
      <c r="AA64" s="3" t="inlineStr">
        <is>
          <t>2026-05-23
&lt; 1 个月</t>
        </is>
      </c>
      <c r="AB64" s="2" t="inlineStr">
        <is>
          <t>12925 g</t>
        </is>
      </c>
      <c r="AC64" s="2" t="inlineStr">
        <is>
          <t>186 L</t>
        </is>
      </c>
      <c r="AD64" s="2" t="inlineStr">
        <is>
          <t>chengli009</t>
        </is>
      </c>
      <c r="AE64" s="2" t="inlineStr">
        <is>
          <t>跨境卖家</t>
        </is>
      </c>
      <c r="AF64" s="2" t="inlineStr">
        <is>
          <t>RFBS</t>
        </is>
      </c>
      <c r="AG64" s="2" t="n">
        <v>60.0</v>
      </c>
    </row>
    <row r="65" customHeight="true" ht="64.0">
      <c r="A65" s="2" t="n">
        <v>64.0</v>
      </c>
      <c r="B65" s="2" t="inlineStr">
        <is>
          <t>https://ir.ozone.ru/s3/multimedia-1-b/wc300/10839537911.jpg</t>
        </is>
      </c>
      <c r="C65" s="2" t="n">
        <f>IF(ISERROR(IMAGE("https://ir.ozone.ru/s3/multimedia-1-b/wc300/10839537911.jpg")),"请使用新版Excel2024查看图片",IMAGE("https://ir.ozone.ru/s3/multimedia-1-b/wc300/10839537911.jpg"))</f>
        <v>0.0</v>
      </c>
      <c r="D65" s="2" t="inlineStr">
        <is>
          <t>Лабораторный бриллиант CVD- 1,01 карат 6,5 мм 1 шт.D/VVS 2+сертификат</t>
        </is>
      </c>
      <c r="E65" s="2" t="inlineStr">
        <is>
          <t>https://www.ozon.ru/product/4458177605</t>
        </is>
      </c>
      <c r="F65" s="2" t="n">
        <v>4.458177605E9</v>
      </c>
      <c r="G65" s="2" t="inlineStr">
        <is>
          <t/>
        </is>
      </c>
      <c r="H65" s="3" t="inlineStr">
        <is>
          <t>珠宝首饰耗材
Расходные материалы ювелирные</t>
        </is>
      </c>
      <c r="I65" s="3" t="inlineStr">
        <is>
          <t>跨境卖家可售</t>
        </is>
      </c>
      <c r="J65" s="2" t="inlineStr">
        <is>
          <t>28397₽</t>
        </is>
      </c>
      <c r="K65" s="2" t="n">
        <v>18.0</v>
      </c>
      <c r="L65" s="2" t="inlineStr">
        <is>
          <t>510012₽</t>
        </is>
      </c>
      <c r="M65" s="2" t="inlineStr">
        <is>
          <t>100%</t>
        </is>
      </c>
      <c r="N65" s="2" t="inlineStr">
        <is>
          <t>100%</t>
        </is>
      </c>
      <c r="O65" s="2" t="inlineStr">
        <is>
          <t>52.3%</t>
        </is>
      </c>
      <c r="P65" s="2" t="n">
        <v>594.0</v>
      </c>
      <c r="Q65" s="2" t="n">
        <v>69.0</v>
      </c>
      <c r="R65" s="2" t="n">
        <v>184.0</v>
      </c>
      <c r="S65" s="2" t="inlineStr">
        <is>
          <t>4.34%</t>
        </is>
      </c>
      <c r="T65" s="2" t="inlineStr">
        <is>
          <t>225.0%</t>
        </is>
      </c>
      <c r="U65" s="2" t="inlineStr">
        <is>
          <t>0.0%</t>
        </is>
      </c>
      <c r="V65" s="2"/>
      <c r="W65" s="2" t="inlineStr">
        <is>
          <t>0₽</t>
        </is>
      </c>
      <c r="X65" s="2" t="n">
        <v>1.0</v>
      </c>
      <c r="Y65" s="2"/>
      <c r="Z65" s="2"/>
      <c r="AA65" s="3" t="inlineStr">
        <is>
          <t>2026-05-27
&lt; 1 个月</t>
        </is>
      </c>
      <c r="AB65" s="2" t="inlineStr">
        <is>
          <t>101 g</t>
        </is>
      </c>
      <c r="AC65" s="2" t="inlineStr">
        <is>
          <t>0.061 L</t>
        </is>
      </c>
      <c r="AD65" s="2" t="inlineStr">
        <is>
          <t>Песни средь цветов</t>
        </is>
      </c>
      <c r="AE65" s="2" t="inlineStr">
        <is>
          <t>跨境卖家</t>
        </is>
      </c>
      <c r="AF65" s="2" t="inlineStr">
        <is>
          <t>RFBS</t>
        </is>
      </c>
      <c r="AG65" s="2" t="n">
        <v>0.0</v>
      </c>
    </row>
    <row r="66" customHeight="true" ht="64.0">
      <c r="A66" s="2" t="n">
        <v>65.0</v>
      </c>
      <c r="B66" s="2" t="inlineStr">
        <is>
          <t>https://ir.ozone.ru/s3/multimedia-1-k/wc300/10842247568.jpg</t>
        </is>
      </c>
      <c r="C66" s="2" t="n">
        <f>IF(ISERROR(IMAGE("https://ir.ozone.ru/s3/multimedia-1-k/wc300/10842247568.jpg")),"请使用新版Excel2024查看图片",IMAGE("https://ir.ozone.ru/s3/multimedia-1-k/wc300/10842247568.jpg"))</f>
        <v>0.0</v>
      </c>
      <c r="D66" s="2" t="inlineStr">
        <is>
          <t>Смартфон Honor Magic V6  16/</t>
        </is>
      </c>
      <c r="E66" s="2" t="inlineStr">
        <is>
          <t>https://www.ozon.ru/product/4459281588</t>
        </is>
      </c>
      <c r="F66" s="2" t="n">
        <v>4.459281588E9</v>
      </c>
      <c r="G66" s="2" t="inlineStr">
        <is>
          <t/>
        </is>
      </c>
      <c r="H66" s="3" t="inlineStr">
        <is>
          <t>智能手机
Смартфон</t>
        </is>
      </c>
      <c r="I66" s="3" t="inlineStr">
        <is>
          <t>跨境卖家可售</t>
        </is>
      </c>
      <c r="J66" s="2" t="inlineStr">
        <is>
          <t>101824₽</t>
        </is>
      </c>
      <c r="K66" s="2" t="n">
        <v>5.0</v>
      </c>
      <c r="L66" s="2" t="inlineStr">
        <is>
          <t>509120₽</t>
        </is>
      </c>
      <c r="M66" s="2" t="inlineStr">
        <is>
          <t>100%</t>
        </is>
      </c>
      <c r="N66" s="2" t="inlineStr">
        <is>
          <t>100%</t>
        </is>
      </c>
      <c r="O66" s="2" t="inlineStr">
        <is>
          <t>57.3%</t>
        </is>
      </c>
      <c r="P66" s="2" t="n">
        <v>5704.0</v>
      </c>
      <c r="Q66" s="2" t="n">
        <v>2104.0</v>
      </c>
      <c r="R66" s="2" t="n">
        <v>827.0</v>
      </c>
      <c r="S66" s="2" t="inlineStr">
        <is>
          <t>5.68%</t>
        </is>
      </c>
      <c r="T66" s="2" t="inlineStr">
        <is>
          <t>10.6%</t>
        </is>
      </c>
      <c r="U66" s="2" t="inlineStr">
        <is>
          <t>0.28%</t>
        </is>
      </c>
      <c r="V66" s="2"/>
      <c r="W66" s="2" t="inlineStr">
        <is>
          <t>0₽</t>
        </is>
      </c>
      <c r="X66" s="2" t="n">
        <v>1.0</v>
      </c>
      <c r="Y66" s="2"/>
      <c r="Z66" s="2"/>
      <c r="AA66" s="3" t="inlineStr">
        <is>
          <t>2026-05-27
&lt; 1 个月</t>
        </is>
      </c>
      <c r="AB66" s="2" t="inlineStr">
        <is>
          <t>840 g</t>
        </is>
      </c>
      <c r="AC66" s="2" t="inlineStr">
        <is>
          <t>1.28 L</t>
        </is>
      </c>
      <c r="AD66" s="2" t="inlineStr">
        <is>
          <t>ЦифроГрад</t>
        </is>
      </c>
      <c r="AE66" s="2" t="inlineStr">
        <is>
          <t>跨境卖家</t>
        </is>
      </c>
      <c r="AF66" s="2" t="inlineStr">
        <is>
          <t>RFBS</t>
        </is>
      </c>
      <c r="AG66" s="2" t="n">
        <v>0.0</v>
      </c>
    </row>
    <row r="67" customHeight="true" ht="64.0">
      <c r="A67" s="2" t="n">
        <v>66.0</v>
      </c>
      <c r="B67" s="2" t="inlineStr">
        <is>
          <t>https://ir.ozone.ru/s3/multimedia-1-6/wc300/10636227942.jpg</t>
        </is>
      </c>
      <c r="C67" s="2" t="n">
        <f>IF(ISERROR(IMAGE("https://ir.ozone.ru/s3/multimedia-1-6/wc300/10636227942.jpg")),"请使用新版Excel2024查看图片",IMAGE("https://ir.ozone.ru/s3/multimedia-1-6/wc300/10636227942.jpg"))</f>
        <v>0.0</v>
      </c>
      <c r="D67" s="2" t="inlineStr">
        <is>
          <t>Набор садовой мебели 4персон</t>
        </is>
      </c>
      <c r="E67" s="2" t="inlineStr">
        <is>
          <t>https://www.ozon.ru/product/4380658512</t>
        </is>
      </c>
      <c r="F67" s="2" t="n">
        <v>4.380658512E9</v>
      </c>
      <c r="G67" s="2" t="inlineStr">
        <is>
          <t/>
        </is>
      </c>
      <c r="H67" s="3" t="inlineStr">
        <is>
          <t>花园家具套装
Набор садовой мебели</t>
        </is>
      </c>
      <c r="I67" s="3" t="inlineStr">
        <is>
          <t>跨境卖家可售</t>
        </is>
      </c>
      <c r="J67" s="2" t="inlineStr">
        <is>
          <t>17882₽</t>
        </is>
      </c>
      <c r="K67" s="2" t="n">
        <v>28.0</v>
      </c>
      <c r="L67" s="2" t="inlineStr">
        <is>
          <t>505500₽</t>
        </is>
      </c>
      <c r="M67" s="2" t="inlineStr">
        <is>
          <t>100%</t>
        </is>
      </c>
      <c r="N67" s="2" t="inlineStr">
        <is>
          <t>100%</t>
        </is>
      </c>
      <c r="O67" s="2" t="inlineStr">
        <is>
          <t>57.9%</t>
        </is>
      </c>
      <c r="P67" s="2" t="n">
        <v>16565.0</v>
      </c>
      <c r="Q67" s="2" t="n">
        <v>2519.0</v>
      </c>
      <c r="R67" s="2" t="n">
        <v>8268.0</v>
      </c>
      <c r="S67" s="2" t="inlineStr">
        <is>
          <t>6.42%</t>
        </is>
      </c>
      <c r="T67" s="2" t="inlineStr">
        <is>
          <t>5.3%</t>
        </is>
      </c>
      <c r="U67" s="2" t="inlineStr">
        <is>
          <t>0.06%</t>
        </is>
      </c>
      <c r="V67" s="2"/>
      <c r="W67" s="2" t="inlineStr">
        <is>
          <t>0₽</t>
        </is>
      </c>
      <c r="X67" s="2" t="n">
        <v>2.0</v>
      </c>
      <c r="Y67" s="2" t="n">
        <v>3.0</v>
      </c>
      <c r="Z67" s="2" t="inlineStr">
        <is>
          <t>3.7</t>
        </is>
      </c>
      <c r="AA67" s="3" t="inlineStr">
        <is>
          <t>2026-05-20
&lt; 1 个月</t>
        </is>
      </c>
      <c r="AB67" s="2" t="inlineStr">
        <is>
          <t>25000 g</t>
        </is>
      </c>
      <c r="AC67" s="2" t="inlineStr">
        <is>
          <t>185.9 L</t>
        </is>
      </c>
      <c r="AD67" s="2" t="inlineStr">
        <is>
          <t>Sanmu-T</t>
        </is>
      </c>
      <c r="AE67" s="2" t="inlineStr">
        <is>
          <t>跨境卖家</t>
        </is>
      </c>
      <c r="AF67" s="2" t="inlineStr">
        <is>
          <t>RFBS</t>
        </is>
      </c>
      <c r="AG67" s="2" t="n">
        <v>29.0</v>
      </c>
    </row>
    <row r="68" customHeight="true" ht="64.0">
      <c r="A68" s="2" t="n">
        <v>67.0</v>
      </c>
      <c r="B68" s="2" t="inlineStr">
        <is>
          <t>https://ir.ozone.ru/s3/multimedia-1-a/wc300/10569446794.jpg</t>
        </is>
      </c>
      <c r="C68" s="2" t="n">
        <f>IF(ISERROR(IMAGE("https://ir.ozone.ru/s3/multimedia-1-a/wc300/10569446794.jpg")),"请使用新版Excel2024查看图片",IMAGE("https://ir.ozone.ru/s3/multimedia-1-a/wc300/10569446794.jpg"))</f>
        <v>0.0</v>
      </c>
      <c r="D68" s="2" t="inlineStr">
        <is>
          <t>DeWalt DCS714 торцовочная пила 20V MAX XR 10 дюймов двухсторонний наклон аккумуляторная</t>
        </is>
      </c>
      <c r="E68" s="2" t="inlineStr">
        <is>
          <t>https://www.ozon.ru/product/4355174239</t>
        </is>
      </c>
      <c r="F68" s="2" t="n">
        <v>4.355174239E9</v>
      </c>
      <c r="G68" s="2" t="inlineStr">
        <is>
          <t>DeWalt</t>
        </is>
      </c>
      <c r="H68" s="3" t="inlineStr">
        <is>
          <t>电动工具套件
Набор электроинструмента</t>
        </is>
      </c>
      <c r="I68" s="3" t="inlineStr">
        <is>
          <t>跨境卖家可售</t>
        </is>
      </c>
      <c r="J68" s="2" t="inlineStr">
        <is>
          <t>45899₽</t>
        </is>
      </c>
      <c r="K68" s="2" t="n">
        <v>11.0</v>
      </c>
      <c r="L68" s="2" t="inlineStr">
        <is>
          <t>505467₽</t>
        </is>
      </c>
      <c r="M68" s="2" t="inlineStr">
        <is>
          <t>100%</t>
        </is>
      </c>
      <c r="N68" s="2" t="inlineStr">
        <is>
          <t>100%</t>
        </is>
      </c>
      <c r="O68" s="2" t="inlineStr">
        <is>
          <t>50.6%</t>
        </is>
      </c>
      <c r="P68" s="2" t="n">
        <v>4777.0</v>
      </c>
      <c r="Q68" s="2" t="n">
        <v>351.0</v>
      </c>
      <c r="R68" s="2" t="n">
        <v>823.0</v>
      </c>
      <c r="S68" s="2" t="inlineStr">
        <is>
          <t>2.79%</t>
        </is>
      </c>
      <c r="T68" s="2" t="inlineStr">
        <is>
          <t>52.2%</t>
        </is>
      </c>
      <c r="U68" s="2" t="inlineStr">
        <is>
          <t>0.0%</t>
        </is>
      </c>
      <c r="V68" s="2"/>
      <c r="W68" s="2" t="inlineStr">
        <is>
          <t>0₽</t>
        </is>
      </c>
      <c r="X68" s="2" t="n">
        <v>102.0</v>
      </c>
      <c r="Y68" s="2" t="n">
        <v>80.0</v>
      </c>
      <c r="Z68" s="2" t="inlineStr">
        <is>
          <t>4.9</t>
        </is>
      </c>
      <c r="AA68" s="3" t="inlineStr">
        <is>
          <t>2026-05-18
&lt; 1 个月</t>
        </is>
      </c>
      <c r="AB68" s="2" t="inlineStr">
        <is>
          <t>20300 g</t>
        </is>
      </c>
      <c r="AC68" s="2" t="inlineStr">
        <is>
          <t>209.032 L</t>
        </is>
      </c>
      <c r="AD68" s="2" t="inlineStr">
        <is>
          <t>PowerPlus Tools</t>
        </is>
      </c>
      <c r="AE68" s="2" t="inlineStr">
        <is>
          <t>跨境卖家</t>
        </is>
      </c>
      <c r="AF68" s="2" t="inlineStr">
        <is>
          <t>RFBS</t>
        </is>
      </c>
      <c r="AG68" s="2" t="n">
        <v>112.0</v>
      </c>
    </row>
    <row r="69" customHeight="true" ht="64.0">
      <c r="A69" s="2" t="n">
        <v>68.0</v>
      </c>
      <c r="B69" s="2" t="inlineStr">
        <is>
          <t>https://ir.ozone.ru/s3/multimedia-1-0/wc300/10850962248.jpg</t>
        </is>
      </c>
      <c r="C69" s="2" t="n">
        <f>IF(ISERROR(IMAGE("https://ir.ozone.ru/s3/multimedia-1-0/wc300/10850962248.jpg")),"请使用新版Excel2024查看图片",IMAGE("https://ir.ozone.ru/s3/multimedia-1-0/wc300/10850962248.jpg"))</f>
        <v>0.0</v>
      </c>
      <c r="D69" s="2" t="inlineStr">
        <is>
          <t>Электровелосипед, 750 Вт</t>
        </is>
      </c>
      <c r="E69" s="2" t="inlineStr">
        <is>
          <t>https://www.ozon.ru/product/4463291337</t>
        </is>
      </c>
      <c r="F69" s="2" t="n">
        <v>4.463291337E9</v>
      </c>
      <c r="G69" s="2" t="inlineStr">
        <is>
          <t/>
        </is>
      </c>
      <c r="H69" s="3" t="inlineStr">
        <is>
          <t>电动自行车
Электровелосипед</t>
        </is>
      </c>
      <c r="I69" s="3" t="inlineStr">
        <is>
          <t>跨境卖家可售</t>
        </is>
      </c>
      <c r="J69" s="2" t="inlineStr">
        <is>
          <t>27982₽</t>
        </is>
      </c>
      <c r="K69" s="2" t="n">
        <v>18.0</v>
      </c>
      <c r="L69" s="2" t="inlineStr">
        <is>
          <t>503676₽</t>
        </is>
      </c>
      <c r="M69" s="2" t="inlineStr">
        <is>
          <t>100%</t>
        </is>
      </c>
      <c r="N69" s="2" t="inlineStr">
        <is>
          <t>100%</t>
        </is>
      </c>
      <c r="O69" s="2" t="inlineStr">
        <is>
          <t/>
        </is>
      </c>
      <c r="P69" s="2" t="n">
        <v>7879.0</v>
      </c>
      <c r="Q69" s="2" t="n">
        <v>3406.0</v>
      </c>
      <c r="R69" s="2" t="n">
        <v>2221.0</v>
      </c>
      <c r="S69" s="2" t="inlineStr">
        <is>
          <t>8.01%</t>
        </is>
      </c>
      <c r="T69" s="2" t="inlineStr">
        <is>
          <t>10.1%</t>
        </is>
      </c>
      <c r="U69" s="2" t="inlineStr">
        <is>
          <t>0.0%</t>
        </is>
      </c>
      <c r="V69" s="2"/>
      <c r="W69" s="2" t="inlineStr">
        <is>
          <t>0₽</t>
        </is>
      </c>
      <c r="X69" s="2" t="n">
        <v>1.0</v>
      </c>
      <c r="Y69" s="2"/>
      <c r="Z69" s="2"/>
      <c r="AA69" s="3" t="inlineStr">
        <is>
          <t>2026-05-27
&lt; 1 个月</t>
        </is>
      </c>
      <c r="AB69" s="2" t="inlineStr">
        <is>
          <t/>
        </is>
      </c>
      <c r="AC69" s="2" t="inlineStr">
        <is>
          <t/>
        </is>
      </c>
      <c r="AD69" s="2" t="inlineStr">
        <is>
          <t>ВостокСтиль / EastStyle</t>
        </is>
      </c>
      <c r="AE69" s="2" t="inlineStr">
        <is>
          <t>跨境卖家</t>
        </is>
      </c>
      <c r="AF69" s="2" t="inlineStr">
        <is>
          <t>RFBS</t>
        </is>
      </c>
      <c r="AG69" s="2" t="n">
        <v>0.0</v>
      </c>
    </row>
    <row r="70" customHeight="true" ht="64.0">
      <c r="A70" s="2" t="n">
        <v>69.0</v>
      </c>
      <c r="B70" s="2" t="inlineStr">
        <is>
          <t>https://ir.ozone.ru/s3/multimedia-1-h/wc300/10604004893.jpg</t>
        </is>
      </c>
      <c r="C70" s="2" t="n">
        <f>IF(ISERROR(IMAGE("https://ir.ozone.ru/s3/multimedia-1-h/wc300/10604004893.jpg")),"请使用新版Excel2024查看图片",IMAGE("https://ir.ozone.ru/s3/multimedia-1-h/wc300/10604004893.jpg"))</f>
        <v>0.0</v>
      </c>
      <c r="D70" s="2" t="inlineStr">
        <is>
          <t>Poco Смартфон Мировая премьера POCO X8 Pro Глобальная версия Смартфон Плотность 8500-Ультра 50 МП NFC 6500 мАч Гиперзаряд мощностью 100 Вт AMOLED-дисплей 1,5 К 120 Гц EU 12/512 ГБ, Nano-SIM, желтый</t>
        </is>
      </c>
      <c r="E70" s="2" t="inlineStr">
        <is>
          <t>https://www.ozon.ru/product/4354395352</t>
        </is>
      </c>
      <c r="F70" s="2" t="n">
        <v>4.354395352E9</v>
      </c>
      <c r="G70" s="2" t="inlineStr">
        <is>
          <t>Poco</t>
        </is>
      </c>
      <c r="H70" s="3" t="inlineStr">
        <is>
          <t>智能手机
Смартфон</t>
        </is>
      </c>
      <c r="I70" s="3" t="inlineStr">
        <is>
          <t>跨境卖家可售</t>
        </is>
      </c>
      <c r="J70" s="2" t="inlineStr">
        <is>
          <t>26141₽</t>
        </is>
      </c>
      <c r="K70" s="2" t="n">
        <v>19.0</v>
      </c>
      <c r="L70" s="2" t="inlineStr">
        <is>
          <t>498484₽</t>
        </is>
      </c>
      <c r="M70" s="2" t="inlineStr">
        <is>
          <t>100%</t>
        </is>
      </c>
      <c r="N70" s="2" t="inlineStr">
        <is>
          <t>100%</t>
        </is>
      </c>
      <c r="O70" s="2" t="inlineStr">
        <is>
          <t>56.7%</t>
        </is>
      </c>
      <c r="P70" s="2" t="n">
        <v>45689.0</v>
      </c>
      <c r="Q70" s="2" t="n">
        <v>1052.0</v>
      </c>
      <c r="R70" s="2" t="n">
        <v>15086.0</v>
      </c>
      <c r="S70" s="2" t="inlineStr">
        <is>
          <t>1.0%</t>
        </is>
      </c>
      <c r="T70" s="2" t="inlineStr">
        <is>
          <t>12.6%</t>
        </is>
      </c>
      <c r="U70" s="2" t="inlineStr">
        <is>
          <t>0.0%</t>
        </is>
      </c>
      <c r="V70" s="2"/>
      <c r="W70" s="2" t="inlineStr">
        <is>
          <t>0₽</t>
        </is>
      </c>
      <c r="X70" s="2" t="n">
        <v>12.0</v>
      </c>
      <c r="Y70" s="2" t="n">
        <v>1814.0</v>
      </c>
      <c r="Z70" s="2" t="inlineStr">
        <is>
          <t>4.9</t>
        </is>
      </c>
      <c r="AA70" s="3" t="inlineStr">
        <is>
          <t>2026-05-18
&lt; 1 个月</t>
        </is>
      </c>
      <c r="AB70" s="2" t="inlineStr">
        <is>
          <t>556 g</t>
        </is>
      </c>
      <c r="AC70" s="2" t="inlineStr">
        <is>
          <t>3.78 L</t>
        </is>
      </c>
      <c r="AD70" s="2" t="inlineStr">
        <is>
          <t>Dragon-X Store</t>
        </is>
      </c>
      <c r="AE70" s="2" t="inlineStr">
        <is>
          <t>跨境卖家</t>
        </is>
      </c>
      <c r="AF70" s="2" t="inlineStr">
        <is>
          <t>RFBS</t>
        </is>
      </c>
      <c r="AG70" s="2" t="n">
        <v>591.0</v>
      </c>
    </row>
    <row r="71" customHeight="true" ht="64.0">
      <c r="A71" s="2" t="n">
        <v>70.0</v>
      </c>
      <c r="B71" s="2" t="inlineStr">
        <is>
          <t>https://ir.ozone.ru/s3/multimedia-1-5/wc300/10550026481.jpg</t>
        </is>
      </c>
      <c r="C71" s="2" t="n">
        <f>IF(ISERROR(IMAGE("https://ir.ozone.ru/s3/multimedia-1-5/wc300/10550026481.jpg")),"请使用新版Excel2024查看图片",IMAGE("https://ir.ozone.ru/s3/multimedia-1-5/wc300/10550026481.jpg"))</f>
        <v>0.0</v>
      </c>
      <c r="D71" s="2" t="inlineStr">
        <is>
          <t>Экшн-камера DJI Osmo Pocket 3 Creator Combo</t>
        </is>
      </c>
      <c r="E71" s="2" t="inlineStr">
        <is>
          <t>https://www.ozon.ru/product/4345166287</t>
        </is>
      </c>
      <c r="F71" s="2" t="n">
        <v>4.345166287E9</v>
      </c>
      <c r="G71" s="2" t="inlineStr">
        <is>
          <t>DJI</t>
        </is>
      </c>
      <c r="H71" s="3" t="inlineStr">
        <is>
          <t>相机配件
Аксессуар для камеры</t>
        </is>
      </c>
      <c r="I71" s="3" t="inlineStr">
        <is>
          <t>跨境卖家可售</t>
        </is>
      </c>
      <c r="J71" s="2" t="inlineStr">
        <is>
          <t>40414₽</t>
        </is>
      </c>
      <c r="K71" s="2" t="n">
        <v>12.0</v>
      </c>
      <c r="L71" s="2" t="inlineStr">
        <is>
          <t>484968₽</t>
        </is>
      </c>
      <c r="M71" s="2" t="inlineStr">
        <is>
          <t>100%</t>
        </is>
      </c>
      <c r="N71" s="2" t="inlineStr">
        <is>
          <t>100%</t>
        </is>
      </c>
      <c r="O71" s="2" t="inlineStr">
        <is>
          <t>48.5%</t>
        </is>
      </c>
      <c r="P71" s="2" t="n">
        <v>25456.0</v>
      </c>
      <c r="Q71" s="2" t="n">
        <v>10753.0</v>
      </c>
      <c r="R71" s="2" t="n">
        <v>3526.0</v>
      </c>
      <c r="S71" s="2" t="inlineStr">
        <is>
          <t>6.09%</t>
        </is>
      </c>
      <c r="T71" s="2" t="inlineStr">
        <is>
          <t>5.6%</t>
        </is>
      </c>
      <c r="U71" s="2" t="inlineStr">
        <is>
          <t>1.78%</t>
        </is>
      </c>
      <c r="V71" s="2"/>
      <c r="W71" s="2" t="inlineStr">
        <is>
          <t>0₽</t>
        </is>
      </c>
      <c r="X71" s="2" t="n">
        <v>13.0</v>
      </c>
      <c r="Y71" s="2" t="n">
        <v>76.0</v>
      </c>
      <c r="Z71" s="2" t="inlineStr">
        <is>
          <t>5.0</t>
        </is>
      </c>
      <c r="AA71" s="3" t="inlineStr">
        <is>
          <t>2026-05-17
&lt; 1 个月</t>
        </is>
      </c>
      <c r="AB71" s="2" t="inlineStr">
        <is>
          <t>650 g</t>
        </is>
      </c>
      <c r="AC71" s="2" t="inlineStr">
        <is>
          <t>1.956 L</t>
        </is>
      </c>
      <c r="AD71" s="2" t="inlineStr">
        <is>
          <t>asma 3C</t>
        </is>
      </c>
      <c r="AE71" s="2" t="inlineStr">
        <is>
          <t>跨境卖家</t>
        </is>
      </c>
      <c r="AF71" s="2" t="inlineStr">
        <is>
          <t>RFBS</t>
        </is>
      </c>
      <c r="AG71" s="2" t="n">
        <v>80.0</v>
      </c>
    </row>
    <row r="72" customHeight="true" ht="64.0">
      <c r="A72" s="2" t="n">
        <v>71.0</v>
      </c>
      <c r="B72" s="2" t="inlineStr">
        <is>
          <t>https://ir.ozone.ru/s3/multimedia-1-5/wc300/10542993053.jpg</t>
        </is>
      </c>
      <c r="C72" s="2" t="n">
        <f>IF(ISERROR(IMAGE("https://ir.ozone.ru/s3/multimedia-1-5/wc300/10542993053.jpg")),"请使用新版Excel2024查看图片",IMAGE("https://ir.ozone.ru/s3/multimedia-1-5/wc300/10542993053.jpg"))</f>
        <v>0.0</v>
      </c>
      <c r="D72" s="2" t="inlineStr">
        <is>
          <t xml:space="preserve"> Игровой ноутбук MECHREVO 019e404182f172f0b6a85e960b493c5b, AMD Ryzen 9 8945HX, RAM32 ГБ, SSD 1024 ГБ NVIDIA GeForce RTX, Windows Pro, черный матовый</t>
        </is>
      </c>
      <c r="E72" s="2" t="inlineStr">
        <is>
          <t>https://www.ozon.ru/product/4341377179</t>
        </is>
      </c>
      <c r="F72" s="2" t="n">
        <v>4.341377179E9</v>
      </c>
      <c r="G72" s="2" t="inlineStr">
        <is>
          <t/>
        </is>
      </c>
      <c r="H72" s="3" t="inlineStr">
        <is>
          <t>游戏笔记本电脑
Игровой ноутбук</t>
        </is>
      </c>
      <c r="I72" s="3" t="inlineStr">
        <is>
          <t>跨境卖家可售</t>
        </is>
      </c>
      <c r="J72" s="2" t="inlineStr">
        <is>
          <t>120704₽</t>
        </is>
      </c>
      <c r="K72" s="2" t="n">
        <v>4.0</v>
      </c>
      <c r="L72" s="2" t="inlineStr">
        <is>
          <t>482816₽</t>
        </is>
      </c>
      <c r="M72" s="2" t="inlineStr">
        <is>
          <t>100%</t>
        </is>
      </c>
      <c r="N72" s="2" t="inlineStr">
        <is>
          <t>100%</t>
        </is>
      </c>
      <c r="O72" s="2" t="inlineStr">
        <is>
          <t>60.8%</t>
        </is>
      </c>
      <c r="P72" s="2" t="n">
        <v>11462.0</v>
      </c>
      <c r="Q72" s="2" t="n">
        <v>4804.0</v>
      </c>
      <c r="R72" s="2" t="n">
        <v>811.0</v>
      </c>
      <c r="S72" s="2" t="inlineStr">
        <is>
          <t>5.79%</t>
        </is>
      </c>
      <c r="T72" s="2" t="inlineStr">
        <is>
          <t>8.5%</t>
        </is>
      </c>
      <c r="U72" s="2" t="inlineStr">
        <is>
          <t>0.3%</t>
        </is>
      </c>
      <c r="V72" s="2"/>
      <c r="W72" s="2" t="inlineStr">
        <is>
          <t>0₽</t>
        </is>
      </c>
      <c r="X72" s="2" t="n">
        <v>1.0</v>
      </c>
      <c r="Y72" s="2"/>
      <c r="Z72" s="2"/>
      <c r="AA72" s="3" t="inlineStr">
        <is>
          <t>2026-05-17
&lt; 1 个月</t>
        </is>
      </c>
      <c r="AB72" s="2" t="inlineStr">
        <is>
          <t>6000 g</t>
        </is>
      </c>
      <c r="AC72" s="2" t="inlineStr">
        <is>
          <t>74.25 L</t>
        </is>
      </c>
      <c r="AD72" s="2" t="inlineStr">
        <is>
          <t>H-B</t>
        </is>
      </c>
      <c r="AE72" s="2" t="inlineStr">
        <is>
          <t>跨境卖家</t>
        </is>
      </c>
      <c r="AF72" s="2" t="inlineStr">
        <is>
          <t>RFBS</t>
        </is>
      </c>
      <c r="AG72" s="2" t="n">
        <v>0.0</v>
      </c>
    </row>
    <row r="73" customHeight="true" ht="64.0">
      <c r="A73" s="2" t="n">
        <v>72.0</v>
      </c>
      <c r="B73" s="2" t="inlineStr">
        <is>
          <t>https://ir.ozone.ru/s3/multimedia-1-g/wc300/10342604320.jpg</t>
        </is>
      </c>
      <c r="C73" s="2" t="n">
        <f>IF(ISERROR(IMAGE("https://ir.ozone.ru/s3/multimedia-1-g/wc300/10342604320.jpg")),"请使用新版Excel2024查看图片",IMAGE("https://ir.ozone.ru/s3/multimedia-1-g/wc300/10342604320.jpg"))</f>
        <v>0.0</v>
      </c>
      <c r="D73" s="2" t="inlineStr">
        <is>
          <t>Очки DJI Goggles 3</t>
        </is>
      </c>
      <c r="E73" s="2" t="inlineStr">
        <is>
          <t>https://www.ozon.ru/product/4346740479</t>
        </is>
      </c>
      <c r="F73" s="2" t="n">
        <v>4.346740479E9</v>
      </c>
      <c r="G73" s="2" t="inlineStr">
        <is>
          <t/>
        </is>
      </c>
      <c r="H73" s="3" t="inlineStr">
        <is>
          <t>遥控玩具
Игрушка радиоуправляемая</t>
        </is>
      </c>
      <c r="I73" s="3" t="inlineStr">
        <is>
          <t>跨境卖家可售</t>
        </is>
      </c>
      <c r="J73" s="2" t="inlineStr">
        <is>
          <t>40220₽</t>
        </is>
      </c>
      <c r="K73" s="2" t="n">
        <v>12.0</v>
      </c>
      <c r="L73" s="2" t="inlineStr">
        <is>
          <t>482640₽</t>
        </is>
      </c>
      <c r="M73" s="2" t="inlineStr">
        <is>
          <t>100%</t>
        </is>
      </c>
      <c r="N73" s="2" t="inlineStr">
        <is>
          <t>100%</t>
        </is>
      </c>
      <c r="O73" s="2" t="inlineStr">
        <is>
          <t>51%</t>
        </is>
      </c>
      <c r="P73" s="2" t="n">
        <v>1021.0</v>
      </c>
      <c r="Q73" s="2" t="n">
        <v>87.0</v>
      </c>
      <c r="R73" s="2" t="n">
        <v>369.0</v>
      </c>
      <c r="S73" s="2" t="inlineStr">
        <is>
          <t>4.06%</t>
        </is>
      </c>
      <c r="T73" s="2" t="inlineStr">
        <is>
          <t>80.0%</t>
        </is>
      </c>
      <c r="U73" s="2" t="inlineStr">
        <is>
          <t>0.0%</t>
        </is>
      </c>
      <c r="V73" s="2"/>
      <c r="W73" s="2" t="inlineStr">
        <is>
          <t>0₽</t>
        </is>
      </c>
      <c r="X73" s="2" t="n">
        <v>1.0</v>
      </c>
      <c r="Y73" s="2"/>
      <c r="Z73" s="2"/>
      <c r="AA73" s="3" t="inlineStr">
        <is>
          <t>2026-05-18
&lt; 1 个月</t>
        </is>
      </c>
      <c r="AB73" s="2" t="inlineStr">
        <is>
          <t>811 g</t>
        </is>
      </c>
      <c r="AC73" s="2" t="inlineStr">
        <is>
          <t>5.26 L</t>
        </is>
      </c>
      <c r="AD73" s="2" t="inlineStr">
        <is>
          <t>ЦифраПро</t>
        </is>
      </c>
      <c r="AE73" s="2" t="inlineStr">
        <is>
          <t>跨境卖家</t>
        </is>
      </c>
      <c r="AF73" s="2" t="inlineStr">
        <is>
          <t>RFBS</t>
        </is>
      </c>
      <c r="AG73" s="2" t="n">
        <v>0.0</v>
      </c>
    </row>
    <row r="74" customHeight="true" ht="64.0">
      <c r="A74" s="2" t="n">
        <v>73.0</v>
      </c>
      <c r="B74" s="2" t="inlineStr">
        <is>
          <t>https://ir.ozone.ru/s3/multimedia-1-u/wc300/10556027634.jpg</t>
        </is>
      </c>
      <c r="C74" s="2" t="n">
        <f>IF(ISERROR(IMAGE("https://ir.ozone.ru/s3/multimedia-1-u/wc300/10556027634.jpg")),"请使用新版Excel2024查看图片",IMAGE("https://ir.ozone.ru/s3/multimedia-1-u/wc300/10556027634.jpg"))</f>
        <v>0.0</v>
      </c>
      <c r="D74" s="2" t="inlineStr">
        <is>
          <t>Набор наклеек FIFA WORLD CUP 2026/Чемпионат мира, 50 пак</t>
        </is>
      </c>
      <c r="E74" s="2" t="inlineStr">
        <is>
          <t>https://www.ozon.ru/product/4330575223</t>
        </is>
      </c>
      <c r="F74" s="2" t="n">
        <v>4.330575223E9</v>
      </c>
      <c r="G74" s="2" t="inlineStr">
        <is>
          <t/>
        </is>
      </c>
      <c r="H74" s="3" t="inlineStr">
        <is>
          <t>收藏贴纸
Наклейка коллекционная</t>
        </is>
      </c>
      <c r="I74" s="3" t="inlineStr">
        <is>
          <t>跨境卖家可售</t>
        </is>
      </c>
      <c r="J74" s="2" t="inlineStr">
        <is>
          <t>3201₽</t>
        </is>
      </c>
      <c r="K74" s="2" t="n">
        <v>152.0</v>
      </c>
      <c r="L74" s="2" t="inlineStr">
        <is>
          <t>481722₽</t>
        </is>
      </c>
      <c r="M74" s="2" t="inlineStr">
        <is>
          <t>100%</t>
        </is>
      </c>
      <c r="N74" s="2" t="inlineStr">
        <is>
          <t>100%</t>
        </is>
      </c>
      <c r="O74" s="2" t="inlineStr">
        <is>
          <t>53%</t>
        </is>
      </c>
      <c r="P74" s="2" t="n">
        <v>50733.0</v>
      </c>
      <c r="Q74" s="2" t="n">
        <v>19151.0</v>
      </c>
      <c r="R74" s="2" t="n">
        <v>9096.0</v>
      </c>
      <c r="S74" s="2" t="inlineStr">
        <is>
          <t>4.69%</t>
        </is>
      </c>
      <c r="T74" s="2" t="inlineStr">
        <is>
          <t>35.6%</t>
        </is>
      </c>
      <c r="U74" s="2" t="inlineStr">
        <is>
          <t>0.76%</t>
        </is>
      </c>
      <c r="V74" s="2"/>
      <c r="W74" s="2" t="inlineStr">
        <is>
          <t>0₽</t>
        </is>
      </c>
      <c r="X74" s="2" t="n">
        <v>4.0</v>
      </c>
      <c r="Y74" s="2"/>
      <c r="Z74" s="2"/>
      <c r="AA74" s="3" t="inlineStr">
        <is>
          <t>2026-05-16
&lt; 1 个月</t>
        </is>
      </c>
      <c r="AB74" s="2" t="inlineStr">
        <is>
          <t>520 g</t>
        </is>
      </c>
      <c r="AC74" s="2" t="inlineStr">
        <is>
          <t>9 L</t>
        </is>
      </c>
      <c r="AD74" s="2" t="inlineStr">
        <is>
          <t>advance</t>
        </is>
      </c>
      <c r="AE74" s="2" t="inlineStr">
        <is>
          <t>跨境卖家</t>
        </is>
      </c>
      <c r="AF74" s="2" t="inlineStr">
        <is>
          <t>RFBS</t>
        </is>
      </c>
      <c r="AG74" s="2" t="n">
        <v>17.0</v>
      </c>
    </row>
    <row r="75" customHeight="true" ht="64.0">
      <c r="A75" s="2" t="n">
        <v>74.0</v>
      </c>
      <c r="B75" s="2" t="inlineStr">
        <is>
          <t>https://ir.ozone.ru/s3/multimedia-1-3/wc300/10684603299.jpg</t>
        </is>
      </c>
      <c r="C75" s="2" t="n">
        <f>IF(ISERROR(IMAGE("https://ir.ozone.ru/s3/multimedia-1-3/wc300/10684603299.jpg")),"请使用新版Excel2024查看图片",IMAGE("https://ir.ozone.ru/s3/multimedia-1-3/wc300/10684603299.jpg"))</f>
        <v>0.0</v>
      </c>
      <c r="D75" s="2" t="inlineStr">
        <is>
          <t>Sony Смартфон Sony Xperia1 VIII 12+256GB lolite Silver XQ-GE74 Global 12/256 ГБ, Nano-SIM, серебристый</t>
        </is>
      </c>
      <c r="E75" s="2" t="inlineStr">
        <is>
          <t>https://www.ozon.ru/product/4374632123</t>
        </is>
      </c>
      <c r="F75" s="2" t="n">
        <v>4.374632123E9</v>
      </c>
      <c r="G75" s="2" t="inlineStr">
        <is>
          <t>Sony</t>
        </is>
      </c>
      <c r="H75" s="3" t="inlineStr">
        <is>
          <t>智能手机
Смартфон</t>
        </is>
      </c>
      <c r="I75" s="3" t="inlineStr">
        <is>
          <t>跨境卖家可售</t>
        </is>
      </c>
      <c r="J75" s="2" t="inlineStr">
        <is>
          <t>99950₽</t>
        </is>
      </c>
      <c r="K75" s="2" t="n">
        <v>5.0</v>
      </c>
      <c r="L75" s="2" t="inlineStr">
        <is>
          <t>481520₽</t>
        </is>
      </c>
      <c r="M75" s="2" t="inlineStr">
        <is>
          <t>100%</t>
        </is>
      </c>
      <c r="N75" s="2" t="inlineStr">
        <is>
          <t>100%</t>
        </is>
      </c>
      <c r="O75" s="2" t="inlineStr">
        <is>
          <t>57.3%</t>
        </is>
      </c>
      <c r="P75" s="2" t="n">
        <v>6387.0</v>
      </c>
      <c r="Q75" s="2" t="n">
        <v>841.0</v>
      </c>
      <c r="R75" s="2" t="n">
        <v>1828.0</v>
      </c>
      <c r="S75" s="2" t="inlineStr">
        <is>
          <t>2.95%</t>
        </is>
      </c>
      <c r="T75" s="2" t="inlineStr">
        <is>
          <t>9.3%</t>
        </is>
      </c>
      <c r="U75" s="2" t="inlineStr">
        <is>
          <t>0.0%</t>
        </is>
      </c>
      <c r="V75" s="2"/>
      <c r="W75" s="2" t="inlineStr">
        <is>
          <t>0₽</t>
        </is>
      </c>
      <c r="X75" s="2" t="n">
        <v>8.0</v>
      </c>
      <c r="Y75" s="2" t="n">
        <v>7.0</v>
      </c>
      <c r="Z75" s="2" t="inlineStr">
        <is>
          <t>5.0</t>
        </is>
      </c>
      <c r="AA75" s="3" t="inlineStr">
        <is>
          <t>2026-05-20
&lt; 1 个月</t>
        </is>
      </c>
      <c r="AB75" s="2" t="inlineStr">
        <is>
          <t>280 g</t>
        </is>
      </c>
      <c r="AC75" s="2" t="inlineStr">
        <is>
          <t>0.122 L</t>
        </is>
      </c>
      <c r="AD75" s="2" t="inlineStr">
        <is>
          <t>MOS Premium Store</t>
        </is>
      </c>
      <c r="AE75" s="2" t="inlineStr">
        <is>
          <t>跨境卖家</t>
        </is>
      </c>
      <c r="AF75" s="2" t="inlineStr">
        <is>
          <t>RFBS</t>
        </is>
      </c>
      <c r="AG75" s="2" t="n">
        <v>24.0</v>
      </c>
    </row>
    <row r="76" customHeight="true" ht="64.0">
      <c r="A76" s="2" t="n">
        <v>75.0</v>
      </c>
      <c r="B76" s="2" t="inlineStr">
        <is>
          <t>https://ir.ozone.ru/s3/multimedia-1-i/wc300/10313407206.jpg</t>
        </is>
      </c>
      <c r="C76" s="2" t="n">
        <f>IF(ISERROR(IMAGE("https://ir.ozone.ru/s3/multimedia-1-i/wc300/10313407206.jpg")),"请使用新版Excel2024查看图片",IMAGE("https://ir.ozone.ru/s3/multimedia-1-i/wc300/10313407206.jpg"))</f>
        <v>0.0</v>
      </c>
      <c r="D76" s="2" t="inlineStr">
        <is>
          <t>Panini 2026 FIFA World Cup Sticker Collection Box, 50 пакетов (350 стикеров), футбольные коллекционные стикеры, Чемпионат мира 2026</t>
        </is>
      </c>
      <c r="E76" s="2" t="inlineStr">
        <is>
          <t>https://www.ozon.ru/product/4392126758</t>
        </is>
      </c>
      <c r="F76" s="2" t="n">
        <v>4.392126758E9</v>
      </c>
      <c r="G76" s="2" t="inlineStr">
        <is>
          <t/>
        </is>
      </c>
      <c r="H76" s="3" t="inlineStr">
        <is>
          <t>桌面游戏
Настольная игра</t>
        </is>
      </c>
      <c r="I76" s="3" t="inlineStr">
        <is>
          <t>跨境卖家可售</t>
        </is>
      </c>
      <c r="J76" s="2" t="inlineStr">
        <is>
          <t>2060₽</t>
        </is>
      </c>
      <c r="K76" s="2" t="n">
        <v>230.0</v>
      </c>
      <c r="L76" s="2" t="inlineStr">
        <is>
          <t>479162₽</t>
        </is>
      </c>
      <c r="M76" s="2" t="inlineStr">
        <is>
          <t>100%</t>
        </is>
      </c>
      <c r="N76" s="2" t="inlineStr">
        <is>
          <t>100%</t>
        </is>
      </c>
      <c r="O76" s="2" t="inlineStr">
        <is>
          <t>53%</t>
        </is>
      </c>
      <c r="P76" s="2" t="n">
        <v>16388.0</v>
      </c>
      <c r="Q76" s="2" t="n">
        <v>4390.0</v>
      </c>
      <c r="R76" s="2" t="n">
        <v>4242.0</v>
      </c>
      <c r="S76" s="2" t="inlineStr">
        <is>
          <t>7.63%</t>
        </is>
      </c>
      <c r="T76" s="2" t="inlineStr">
        <is>
          <t>71.0%</t>
        </is>
      </c>
      <c r="U76" s="2" t="inlineStr">
        <is>
          <t>0.0%</t>
        </is>
      </c>
      <c r="V76" s="2"/>
      <c r="W76" s="2" t="inlineStr">
        <is>
          <t>0₽</t>
        </is>
      </c>
      <c r="X76" s="2" t="n">
        <v>1.0</v>
      </c>
      <c r="Y76" s="2"/>
      <c r="Z76" s="2"/>
      <c r="AA76" s="3" t="inlineStr">
        <is>
          <t>2026-05-21
&lt; 1 个月</t>
        </is>
      </c>
      <c r="AB76" s="2" t="inlineStr">
        <is>
          <t>400 g</t>
        </is>
      </c>
      <c r="AC76" s="2" t="inlineStr">
        <is>
          <t>2.16 L</t>
        </is>
      </c>
      <c r="AD76" s="2" t="inlineStr">
        <is>
          <t>Мускусная дыня</t>
        </is>
      </c>
      <c r="AE76" s="2" t="inlineStr">
        <is>
          <t>跨境卖家</t>
        </is>
      </c>
      <c r="AF76" s="2" t="inlineStr">
        <is>
          <t>RFBS</t>
        </is>
      </c>
      <c r="AG76" s="2" t="n">
        <v>4.0</v>
      </c>
    </row>
    <row r="77" customHeight="true" ht="64.0">
      <c r="A77" s="2" t="n">
        <v>76.0</v>
      </c>
      <c r="B77" s="2" t="inlineStr">
        <is>
          <t>https://ir.ozone.ru/s3/multimedia-1-d/wc300/10543213561.jpg</t>
        </is>
      </c>
      <c r="C77" s="2" t="n">
        <f>IF(ISERROR(IMAGE("https://ir.ozone.ru/s3/multimedia-1-d/wc300/10543213561.jpg")),"请使用新版Excel2024查看图片",IMAGE("https://ir.ozone.ru/s3/multimedia-1-d/wc300/10543213561.jpg"))</f>
        <v>0.0</v>
      </c>
      <c r="D77" s="2" t="inlineStr">
        <is>
          <t xml:space="preserve"> Игровой ноутбук MECHREVO 019e404182f172f0b6a85e960b493c5b, AMD Ryzen 9 8940HX, RAM32 ГБ, SSD 1024 ГБ NVIDIA GeForce RTX, Windows Pro, черно-серый</t>
        </is>
      </c>
      <c r="E77" s="2" t="inlineStr">
        <is>
          <t>https://www.ozon.ru/product/4341487237</t>
        </is>
      </c>
      <c r="F77" s="2" t="n">
        <v>4.341487237E9</v>
      </c>
      <c r="G77" s="2" t="inlineStr">
        <is>
          <t/>
        </is>
      </c>
      <c r="H77" s="3" t="inlineStr">
        <is>
          <t>游戏笔记本电脑
Игровой ноутбук</t>
        </is>
      </c>
      <c r="I77" s="3" t="inlineStr">
        <is>
          <t>跨境卖家可售</t>
        </is>
      </c>
      <c r="J77" s="2" t="inlineStr">
        <is>
          <t>117942₽</t>
        </is>
      </c>
      <c r="K77" s="2" t="n">
        <v>4.0</v>
      </c>
      <c r="L77" s="2" t="inlineStr">
        <is>
          <t>471768₽</t>
        </is>
      </c>
      <c r="M77" s="2" t="inlineStr">
        <is>
          <t>100%</t>
        </is>
      </c>
      <c r="N77" s="2" t="inlineStr">
        <is>
          <t>100%</t>
        </is>
      </c>
      <c r="O77" s="2" t="inlineStr">
        <is>
          <t>60.8%</t>
        </is>
      </c>
      <c r="P77" s="2" t="n">
        <v>16218.0</v>
      </c>
      <c r="Q77" s="2" t="n">
        <v>6833.0</v>
      </c>
      <c r="R77" s="2" t="n">
        <v>1195.0</v>
      </c>
      <c r="S77" s="2" t="inlineStr">
        <is>
          <t>6.52%</t>
        </is>
      </c>
      <c r="T77" s="2" t="inlineStr">
        <is>
          <t>5.1%</t>
        </is>
      </c>
      <c r="U77" s="2" t="inlineStr">
        <is>
          <t>0.56%</t>
        </is>
      </c>
      <c r="V77" s="2"/>
      <c r="W77" s="2" t="inlineStr">
        <is>
          <t>0₽</t>
        </is>
      </c>
      <c r="X77" s="2" t="n">
        <v>1.0</v>
      </c>
      <c r="Y77" s="2"/>
      <c r="Z77" s="2"/>
      <c r="AA77" s="3" t="inlineStr">
        <is>
          <t>2026-05-17
&lt; 1 个月</t>
        </is>
      </c>
      <c r="AB77" s="2" t="inlineStr">
        <is>
          <t>6000 g</t>
        </is>
      </c>
      <c r="AC77" s="2" t="inlineStr">
        <is>
          <t>74.25 L</t>
        </is>
      </c>
      <c r="AD77" s="2" t="inlineStr">
        <is>
          <t>H-B</t>
        </is>
      </c>
      <c r="AE77" s="2" t="inlineStr">
        <is>
          <t>跨境卖家</t>
        </is>
      </c>
      <c r="AF77" s="2" t="inlineStr">
        <is>
          <t>RFBS</t>
        </is>
      </c>
      <c r="AG77" s="2" t="n">
        <v>0.0</v>
      </c>
    </row>
    <row r="78" customHeight="true" ht="64.0">
      <c r="A78" s="2" t="n">
        <v>77.0</v>
      </c>
      <c r="B78" s="2" t="inlineStr">
        <is>
          <t>https://ir.ozone.ru/s3/multimedia-1-v/wc300/10647307183.jpg</t>
        </is>
      </c>
      <c r="C78" s="2" t="n">
        <f>IF(ISERROR(IMAGE("https://ir.ozone.ru/s3/multimedia-1-v/wc300/10647307183.jpg")),"请使用新版Excel2024查看图片",IMAGE("https://ir.ozone.ru/s3/multimedia-1-v/wc300/10647307183.jpg"))</f>
        <v>0.0</v>
      </c>
      <c r="D78" s="2" t="inlineStr">
        <is>
          <t>SUP-доска84 см</t>
        </is>
      </c>
      <c r="E78" s="2" t="inlineStr">
        <is>
          <t>https://www.ozon.ru/product/4384237623</t>
        </is>
      </c>
      <c r="F78" s="2" t="n">
        <v>4.384237623E9</v>
      </c>
      <c r="G78" s="2" t="inlineStr">
        <is>
          <t/>
        </is>
      </c>
      <c r="H78" s="3" t="inlineStr">
        <is>
          <t>SUP桨板
SUP-доска</t>
        </is>
      </c>
      <c r="I78" s="3" t="inlineStr">
        <is>
          <t>跨境卖家可售</t>
        </is>
      </c>
      <c r="J78" s="2" t="inlineStr">
        <is>
          <t>8577₽</t>
        </is>
      </c>
      <c r="K78" s="2" t="n">
        <v>55.0</v>
      </c>
      <c r="L78" s="2" t="inlineStr">
        <is>
          <t>471522₽</t>
        </is>
      </c>
      <c r="M78" s="2" t="inlineStr">
        <is>
          <t>100%</t>
        </is>
      </c>
      <c r="N78" s="2" t="inlineStr">
        <is>
          <t>100%</t>
        </is>
      </c>
      <c r="O78" s="2" t="inlineStr">
        <is>
          <t>51%</t>
        </is>
      </c>
      <c r="P78" s="2" t="n">
        <v>11224.0</v>
      </c>
      <c r="Q78" s="2" t="n">
        <v>1046.0</v>
      </c>
      <c r="R78" s="2" t="n">
        <v>4715.0</v>
      </c>
      <c r="S78" s="2" t="inlineStr">
        <is>
          <t>16.39%</t>
        </is>
      </c>
      <c r="T78" s="2" t="inlineStr">
        <is>
          <t>7.1%</t>
        </is>
      </c>
      <c r="U78" s="2" t="inlineStr">
        <is>
          <t>0.0%</t>
        </is>
      </c>
      <c r="V78" s="2"/>
      <c r="W78" s="2" t="inlineStr">
        <is>
          <t>0₽</t>
        </is>
      </c>
      <c r="X78" s="2" t="n">
        <v>1.0</v>
      </c>
      <c r="Y78" s="2"/>
      <c r="Z78" s="2"/>
      <c r="AA78" s="3" t="inlineStr">
        <is>
          <t>2026-05-21
&lt; 1 个月</t>
        </is>
      </c>
      <c r="AB78" s="2" t="inlineStr">
        <is>
          <t>12600 g</t>
        </is>
      </c>
      <c r="AC78" s="2" t="inlineStr">
        <is>
          <t>121.5 L</t>
        </is>
      </c>
      <c r="AD78" s="2" t="inlineStr">
        <is>
          <t>chenjun</t>
        </is>
      </c>
      <c r="AE78" s="2" t="inlineStr">
        <is>
          <t>跨境卖家</t>
        </is>
      </c>
      <c r="AF78" s="2" t="inlineStr">
        <is>
          <t>RFBS</t>
        </is>
      </c>
      <c r="AG78" s="2" t="n">
        <v>4.0</v>
      </c>
    </row>
    <row r="79" customHeight="true" ht="64.0">
      <c r="A79" s="2" t="n">
        <v>78.0</v>
      </c>
      <c r="B79" s="2" t="inlineStr">
        <is>
          <t>https://ir.ozone.ru/s3/multimedia-1-x/wc300/10801397985.jpg</t>
        </is>
      </c>
      <c r="C79" s="2" t="n">
        <f>IF(ISERROR(IMAGE("https://ir.ozone.ru/s3/multimedia-1-x/wc300/10801397985.jpg")),"请使用新版Excel2024查看图片",IMAGE("https://ir.ozone.ru/s3/multimedia-1-x/wc300/10801397985.jpg"))</f>
        <v>0.0</v>
      </c>
      <c r="D79" s="2" t="inlineStr">
        <is>
          <t>karvinshcraft Бескаркасный диван Диван, Бархат, Размер XXL,светло-бежевый</t>
        </is>
      </c>
      <c r="E79" s="2" t="inlineStr">
        <is>
          <t>https://www.ozon.ru/product/4432204055</t>
        </is>
      </c>
      <c r="F79" s="2" t="n">
        <v>4.432204055E9</v>
      </c>
      <c r="G79" s="2" t="inlineStr">
        <is>
          <t>karvinshcraft</t>
        </is>
      </c>
      <c r="H79" s="3" t="inlineStr">
        <is>
          <t>无框架沙发
Бескаркасный диван</t>
        </is>
      </c>
      <c r="I79" s="3" t="inlineStr">
        <is>
          <t>跨境卖家可售</t>
        </is>
      </c>
      <c r="J79" s="2" t="inlineStr">
        <is>
          <t>19308₽</t>
        </is>
      </c>
      <c r="K79" s="2" t="n">
        <v>24.0</v>
      </c>
      <c r="L79" s="2" t="inlineStr">
        <is>
          <t>469153₽</t>
        </is>
      </c>
      <c r="M79" s="2" t="inlineStr">
        <is>
          <t>100%</t>
        </is>
      </c>
      <c r="N79" s="2" t="inlineStr">
        <is>
          <t>100%</t>
        </is>
      </c>
      <c r="O79" s="2" t="inlineStr">
        <is>
          <t>58%</t>
        </is>
      </c>
      <c r="P79" s="2" t="n">
        <v>16857.0</v>
      </c>
      <c r="Q79" s="2" t="n">
        <v>5453.0</v>
      </c>
      <c r="R79" s="2" t="n">
        <v>2654.0</v>
      </c>
      <c r="S79" s="2" t="inlineStr">
        <is>
          <t>6.21%</t>
        </is>
      </c>
      <c r="T79" s="2" t="inlineStr">
        <is>
          <t>14.5%</t>
        </is>
      </c>
      <c r="U79" s="2" t="inlineStr">
        <is>
          <t>0.91%</t>
        </is>
      </c>
      <c r="V79" s="2"/>
      <c r="W79" s="2" t="inlineStr">
        <is>
          <t>0₽</t>
        </is>
      </c>
      <c r="X79" s="2" t="n">
        <v>33.0</v>
      </c>
      <c r="Y79" s="2" t="n">
        <v>264.0</v>
      </c>
      <c r="Z79" s="2" t="inlineStr">
        <is>
          <t>4.9</t>
        </is>
      </c>
      <c r="AA79" s="3" t="inlineStr">
        <is>
          <t>2026-05-25
&lt; 1 个月</t>
        </is>
      </c>
      <c r="AB79" s="2" t="inlineStr">
        <is>
          <t>30000 g</t>
        </is>
      </c>
      <c r="AC79" s="2" t="inlineStr">
        <is>
          <t>354.2 L</t>
        </is>
      </c>
      <c r="AD79" s="2" t="inlineStr">
        <is>
          <t>KarvinshCraft</t>
        </is>
      </c>
      <c r="AE79" s="2" t="inlineStr">
        <is>
          <t>跨境卖家</t>
        </is>
      </c>
      <c r="AF79" s="2" t="inlineStr">
        <is>
          <t>RFBS</t>
        </is>
      </c>
      <c r="AG79" s="2" t="n">
        <v>271.0</v>
      </c>
    </row>
    <row r="80" customHeight="true" ht="64.0">
      <c r="A80" s="2" t="n">
        <v>79.0</v>
      </c>
      <c r="B80" s="2" t="inlineStr">
        <is>
          <t>https://ir.ozone.ru/s3/multimedia-1-y/wc300/10699629910.jpg</t>
        </is>
      </c>
      <c r="C80" s="2" t="n">
        <f>IF(ISERROR(IMAGE("https://ir.ozone.ru/s3/multimedia-1-y/wc300/10699629910.jpg")),"请使用新版Excel2024查看图片",IMAGE("https://ir.ozone.ru/s3/multimedia-1-y/wc300/10699629910.jpg"))</f>
        <v>0.0</v>
      </c>
      <c r="D80" s="2" t="inlineStr">
        <is>
          <t>Опора для растений,30см,20шт</t>
        </is>
      </c>
      <c r="E80" s="2" t="inlineStr">
        <is>
          <t>https://www.ozon.ru/product/4403694202</t>
        </is>
      </c>
      <c r="F80" s="2" t="n">
        <v>4.403694202E9</v>
      </c>
      <c r="G80" s="2" t="inlineStr">
        <is>
          <t/>
        </is>
      </c>
      <c r="H80" s="3" t="inlineStr">
        <is>
          <t>植物支架
Опора для растений</t>
        </is>
      </c>
      <c r="I80" s="3" t="inlineStr">
        <is>
          <t>跨境卖家可售</t>
        </is>
      </c>
      <c r="J80" s="2" t="inlineStr">
        <is>
          <t>320₽</t>
        </is>
      </c>
      <c r="K80" s="2" t="n">
        <v>1461.0</v>
      </c>
      <c r="L80" s="2" t="inlineStr">
        <is>
          <t>465298₽</t>
        </is>
      </c>
      <c r="M80" s="2" t="inlineStr">
        <is>
          <t>100%</t>
        </is>
      </c>
      <c r="N80" s="2" t="inlineStr">
        <is>
          <t>100%</t>
        </is>
      </c>
      <c r="O80" s="2" t="inlineStr">
        <is>
          <t>52.4%</t>
        </is>
      </c>
      <c r="P80" s="2" t="n">
        <v>100721.0</v>
      </c>
      <c r="Q80" s="2" t="n">
        <v>60581.0</v>
      </c>
      <c r="R80" s="2" t="n">
        <v>11568.0</v>
      </c>
      <c r="S80" s="2" t="inlineStr">
        <is>
          <t>16.12%</t>
        </is>
      </c>
      <c r="T80" s="2" t="inlineStr">
        <is>
          <t>78.3%</t>
        </is>
      </c>
      <c r="U80" s="2" t="inlineStr">
        <is>
          <t>5.21%</t>
        </is>
      </c>
      <c r="V80" s="2"/>
      <c r="W80" s="2" t="inlineStr">
        <is>
          <t>0₽</t>
        </is>
      </c>
      <c r="X80" s="2" t="n">
        <v>3.0</v>
      </c>
      <c r="Y80" s="2"/>
      <c r="Z80" s="2"/>
      <c r="AA80" s="3" t="inlineStr">
        <is>
          <t>2026-05-22
&lt; 1 个月</t>
        </is>
      </c>
      <c r="AB80" s="2" t="inlineStr">
        <is>
          <t>300 g</t>
        </is>
      </c>
      <c r="AC80" s="2" t="inlineStr">
        <is>
          <t>13.551 L</t>
        </is>
      </c>
      <c r="AD80" s="2" t="inlineStr">
        <is>
          <t>Ye Fan Store 2</t>
        </is>
      </c>
      <c r="AE80" s="2" t="inlineStr">
        <is>
          <t>跨境卖家</t>
        </is>
      </c>
      <c r="AF80" s="2" t="inlineStr">
        <is>
          <t>RFBS</t>
        </is>
      </c>
      <c r="AG80" s="2" t="n">
        <v>1.0</v>
      </c>
    </row>
    <row r="81" customHeight="true" ht="64.0">
      <c r="A81" s="2" t="n">
        <v>80.0</v>
      </c>
      <c r="B81" s="2" t="inlineStr">
        <is>
          <t>https://ir.ozone.ru/s3/multimedia-1-w/wc300/10728609188.jpg</t>
        </is>
      </c>
      <c r="C81" s="2" t="n">
        <f>IF(ISERROR(IMAGE("https://ir.ozone.ru/s3/multimedia-1-w/wc300/10728609188.jpg")),"请使用新版Excel2024查看图片",IMAGE("https://ir.ozone.ru/s3/multimedia-1-w/wc300/10728609188.jpg"))</f>
        <v>0.0</v>
      </c>
      <c r="D81" s="2" t="inlineStr">
        <is>
          <t>Палитра теней для век CHEERYEP (QIANYAN) Natural Star Eye - #21 Ember (Limited Edition)</t>
        </is>
      </c>
      <c r="E81" s="2" t="inlineStr">
        <is>
          <t>https://www.ozon.ru/product/4312618975</t>
        </is>
      </c>
      <c r="F81" s="2" t="n">
        <v>4.312618975E9</v>
      </c>
      <c r="G81" s="2" t="inlineStr">
        <is>
          <t>cheeryep</t>
        </is>
      </c>
      <c r="H81" s="3" t="inlineStr">
        <is>
          <t>眼影
Тени для век</t>
        </is>
      </c>
      <c r="I81" s="3" t="inlineStr">
        <is>
          <t>跨境卖家可售</t>
        </is>
      </c>
      <c r="J81" s="2" t="inlineStr">
        <is>
          <t>2000₽</t>
        </is>
      </c>
      <c r="K81" s="2" t="n">
        <v>167.0</v>
      </c>
      <c r="L81" s="2" t="inlineStr">
        <is>
          <t>461580₽</t>
        </is>
      </c>
      <c r="M81" s="2" t="inlineStr">
        <is>
          <t>100%</t>
        </is>
      </c>
      <c r="N81" s="2" t="inlineStr">
        <is>
          <t>100%</t>
        </is>
      </c>
      <c r="O81" s="2" t="inlineStr">
        <is>
          <t>53%</t>
        </is>
      </c>
      <c r="P81" s="2" t="n">
        <v>137316.0</v>
      </c>
      <c r="Q81" s="2" t="n">
        <v>2058.0</v>
      </c>
      <c r="R81" s="2" t="n">
        <v>20353.0</v>
      </c>
      <c r="S81" s="2" t="inlineStr">
        <is>
          <t>4.94%</t>
        </is>
      </c>
      <c r="T81" s="2" t="inlineStr">
        <is>
          <t>15.1%</t>
        </is>
      </c>
      <c r="U81" s="2" t="inlineStr">
        <is>
          <t>1.57%</t>
        </is>
      </c>
      <c r="V81" s="2"/>
      <c r="W81" s="2" t="inlineStr">
        <is>
          <t>0₽</t>
        </is>
      </c>
      <c r="X81" s="2" t="n">
        <v>23.0</v>
      </c>
      <c r="Y81" s="2" t="n">
        <v>1235.0</v>
      </c>
      <c r="Z81" s="2" t="inlineStr">
        <is>
          <t>5.0</t>
        </is>
      </c>
      <c r="AA81" s="3" t="inlineStr">
        <is>
          <t>2026-05-15
1 个月</t>
        </is>
      </c>
      <c r="AB81" s="2" t="inlineStr">
        <is>
          <t>100 g</t>
        </is>
      </c>
      <c r="AC81" s="2" t="inlineStr">
        <is>
          <t>0.064 L</t>
        </is>
      </c>
      <c r="AD81" s="2" t="inlineStr">
        <is>
          <t>PREFERRED BEAUTY</t>
        </is>
      </c>
      <c r="AE81" s="2" t="inlineStr">
        <is>
          <t>跨境卖家</t>
        </is>
      </c>
      <c r="AF81" s="2" t="inlineStr">
        <is>
          <t>RFBS</t>
        </is>
      </c>
      <c r="AG81" s="2" t="n">
        <v>87.0</v>
      </c>
    </row>
    <row r="82" customHeight="true" ht="64.0">
      <c r="A82" s="2" t="n">
        <v>81.0</v>
      </c>
      <c r="B82" s="2" t="inlineStr">
        <is>
          <t>https://ir.ozone.ru/s3/multimedia-1-u/wc300/10610684418.jpg</t>
        </is>
      </c>
      <c r="C82" s="2" t="n">
        <f>IF(ISERROR(IMAGE("https://ir.ozone.ru/s3/multimedia-1-u/wc300/10610684418.jpg")),"请使用新版Excel2024查看图片",IMAGE("https://ir.ozone.ru/s3/multimedia-1-u/wc300/10610684418.jpg"))</f>
        <v>0.0</v>
      </c>
      <c r="D82" s="2" t="inlineStr">
        <is>
          <t>Sony Смартфон Xperia 1 VIII XQ-GE74 Mark 8 Глобальная версия Global 12/512 ГБ, Nano-SIM, eSIM, бордовый</t>
        </is>
      </c>
      <c r="E82" s="2" t="inlineStr">
        <is>
          <t>https://www.ozon.ru/product/4322514030</t>
        </is>
      </c>
      <c r="F82" s="2" t="n">
        <v>4.32251403E9</v>
      </c>
      <c r="G82" s="2" t="inlineStr">
        <is>
          <t>Sony</t>
        </is>
      </c>
      <c r="H82" s="3" t="inlineStr">
        <is>
          <t>智能手机
Смартфон</t>
        </is>
      </c>
      <c r="I82" s="3" t="inlineStr">
        <is>
          <t>跨境卖家可售</t>
        </is>
      </c>
      <c r="J82" s="2" t="inlineStr">
        <is>
          <t>113650₽</t>
        </is>
      </c>
      <c r="K82" s="2" t="n">
        <v>4.0</v>
      </c>
      <c r="L82" s="2" t="inlineStr">
        <is>
          <t>454600₽</t>
        </is>
      </c>
      <c r="M82" s="2" t="inlineStr">
        <is>
          <t>100%</t>
        </is>
      </c>
      <c r="N82" s="2" t="inlineStr">
        <is>
          <t>100%</t>
        </is>
      </c>
      <c r="O82" s="2" t="inlineStr">
        <is>
          <t>57.3%</t>
        </is>
      </c>
      <c r="P82" s="2" t="n">
        <v>13554.0</v>
      </c>
      <c r="Q82" s="2" t="n">
        <v>1312.0</v>
      </c>
      <c r="R82" s="2" t="n">
        <v>3749.0</v>
      </c>
      <c r="S82" s="2" t="inlineStr">
        <is>
          <t>2.1%</t>
        </is>
      </c>
      <c r="T82" s="2" t="inlineStr">
        <is>
          <t>5.1%</t>
        </is>
      </c>
      <c r="U82" s="2" t="inlineStr">
        <is>
          <t>0.0%</t>
        </is>
      </c>
      <c r="V82" s="2"/>
      <c r="W82" s="2" t="inlineStr">
        <is>
          <t>0₽</t>
        </is>
      </c>
      <c r="X82" s="2" t="n">
        <v>7.0</v>
      </c>
      <c r="Y82" s="2"/>
      <c r="Z82" s="2"/>
      <c r="AA82" s="3" t="inlineStr">
        <is>
          <t>2026-05-15
1 个月</t>
        </is>
      </c>
      <c r="AB82" s="2" t="inlineStr">
        <is>
          <t>500 g</t>
        </is>
      </c>
      <c r="AC82" s="2" t="inlineStr">
        <is>
          <t>3.234 L</t>
        </is>
      </c>
      <c r="AD82" s="2" t="inlineStr">
        <is>
          <t>Новая береза</t>
        </is>
      </c>
      <c r="AE82" s="2" t="inlineStr">
        <is>
          <t>跨境卖家</t>
        </is>
      </c>
      <c r="AF82" s="2" t="inlineStr">
        <is>
          <t>RFBS</t>
        </is>
      </c>
      <c r="AG82" s="2" t="n">
        <v>22.0</v>
      </c>
    </row>
    <row r="83" customHeight="true" ht="64.0">
      <c r="A83" s="2" t="n">
        <v>82.0</v>
      </c>
      <c r="B83" s="2" t="inlineStr">
        <is>
          <t>https://ir.ozone.ru/s3/multimedia-1-3/wc300/10541096247.jpg</t>
        </is>
      </c>
      <c r="C83" s="2" t="n">
        <f>IF(ISERROR(IMAGE("https://ir.ozone.ru/s3/multimedia-1-3/wc300/10541096247.jpg")),"请使用新版Excel2024查看图片",IMAGE("https://ir.ozone.ru/s3/multimedia-1-3/wc300/10541096247.jpg"))</f>
        <v>0.0</v>
      </c>
      <c r="D83" s="2" t="inlineStr">
        <is>
          <t>3D-принтер Snapmaker U1 (международная версия)</t>
        </is>
      </c>
      <c r="E83" s="2" t="inlineStr">
        <is>
          <t>https://www.ozon.ru/product/4340462516</t>
        </is>
      </c>
      <c r="F83" s="2" t="n">
        <v>4.340462516E9</v>
      </c>
      <c r="G83" s="2" t="inlineStr">
        <is>
          <t/>
        </is>
      </c>
      <c r="H83" s="3" t="inlineStr">
        <is>
          <t>复印机
Копировальный аппарат</t>
        </is>
      </c>
      <c r="I83" s="3" t="inlineStr">
        <is>
          <t>跨境卖家可售</t>
        </is>
      </c>
      <c r="J83" s="2" t="inlineStr">
        <is>
          <t>64183₽</t>
        </is>
      </c>
      <c r="K83" s="2" t="n">
        <v>7.0</v>
      </c>
      <c r="L83" s="2" t="inlineStr">
        <is>
          <t>449281₽</t>
        </is>
      </c>
      <c r="M83" s="2" t="inlineStr">
        <is>
          <t>100%</t>
        </is>
      </c>
      <c r="N83" s="2" t="inlineStr">
        <is>
          <t>100%</t>
        </is>
      </c>
      <c r="O83" s="2" t="inlineStr">
        <is>
          <t>52.7%</t>
        </is>
      </c>
      <c r="P83" s="2" t="n">
        <v>3701.0</v>
      </c>
      <c r="Q83" s="2" t="n">
        <v>1298.0</v>
      </c>
      <c r="R83" s="2" t="n">
        <v>688.0</v>
      </c>
      <c r="S83" s="2" t="inlineStr">
        <is>
          <t>5.37%</t>
        </is>
      </c>
      <c r="T83" s="2" t="inlineStr">
        <is>
          <t>18.9%</t>
        </is>
      </c>
      <c r="U83" s="2" t="inlineStr">
        <is>
          <t>0.11%</t>
        </is>
      </c>
      <c r="V83" s="2"/>
      <c r="W83" s="2" t="inlineStr">
        <is>
          <t>0₽</t>
        </is>
      </c>
      <c r="X83" s="2" t="n">
        <v>1.0</v>
      </c>
      <c r="Y83" s="2"/>
      <c r="Z83" s="2"/>
      <c r="AA83" s="3" t="inlineStr">
        <is>
          <t>2026-05-17
&lt; 1 个月</t>
        </is>
      </c>
      <c r="AB83" s="2" t="inlineStr">
        <is>
          <t>26000 g</t>
        </is>
      </c>
      <c r="AC83" s="2" t="inlineStr">
        <is>
          <t>159.3 L</t>
        </is>
      </c>
      <c r="AD83" s="2" t="inlineStr">
        <is>
          <t>NexTech RU</t>
        </is>
      </c>
      <c r="AE83" s="2" t="inlineStr">
        <is>
          <t>跨境卖家</t>
        </is>
      </c>
      <c r="AF83" s="2" t="inlineStr">
        <is>
          <t>RFBS</t>
        </is>
      </c>
      <c r="AG83" s="2" t="n">
        <v>1.0</v>
      </c>
    </row>
    <row r="84" customHeight="true" ht="64.0">
      <c r="A84" s="2" t="n">
        <v>83.0</v>
      </c>
      <c r="B84" s="2" t="inlineStr">
        <is>
          <t>https://ir.ozone.ru/s3/multimedia-1-2/wc300/7475736134.jpg</t>
        </is>
      </c>
      <c r="C84" s="2" t="n">
        <f>IF(ISERROR(IMAGE("https://ir.ozone.ru/s3/multimedia-1-2/wc300/7475736134.jpg")),"请使用新版Excel2024查看图片",IMAGE("https://ir.ozone.ru/s3/multimedia-1-2/wc300/7475736134.jpg"))</f>
        <v>0.0</v>
      </c>
      <c r="D84" s="2" t="inlineStr">
        <is>
          <t>Трусы панталоны Высокая талия, 1 шт</t>
        </is>
      </c>
      <c r="E84" s="2" t="inlineStr">
        <is>
          <t>https://www.ozon.ru/product/4428768476</t>
        </is>
      </c>
      <c r="F84" s="2" t="n">
        <v>4.428768476E9</v>
      </c>
      <c r="G84" s="2" t="inlineStr">
        <is>
          <t/>
        </is>
      </c>
      <c r="H84" s="3" t="inlineStr">
        <is>
          <t>内裤
Трусы</t>
        </is>
      </c>
      <c r="I84" s="3" t="inlineStr">
        <is>
          <t>跨境卖家可售</t>
        </is>
      </c>
      <c r="J84" s="2" t="inlineStr">
        <is>
          <t>298₽</t>
        </is>
      </c>
      <c r="K84" s="2" t="n">
        <v>1454.0</v>
      </c>
      <c r="L84" s="2" t="inlineStr">
        <is>
          <t>447368₽</t>
        </is>
      </c>
      <c r="M84" s="2" t="inlineStr">
        <is>
          <t>100%</t>
        </is>
      </c>
      <c r="N84" s="2" t="inlineStr">
        <is>
          <t>100%</t>
        </is>
      </c>
      <c r="O84" s="2" t="inlineStr">
        <is>
          <t>52%</t>
        </is>
      </c>
      <c r="P84" s="2" t="n">
        <v>163659.0</v>
      </c>
      <c r="Q84" s="2" t="n">
        <v>719.0</v>
      </c>
      <c r="R84" s="2" t="n">
        <v>90782.0</v>
      </c>
      <c r="S84" s="2" t="inlineStr">
        <is>
          <t>8.16%</t>
        </is>
      </c>
      <c r="T84" s="2" t="inlineStr">
        <is>
          <t>19.6%</t>
        </is>
      </c>
      <c r="U84" s="2" t="inlineStr">
        <is>
          <t>0.0%</t>
        </is>
      </c>
      <c r="V84" s="2"/>
      <c r="W84" s="2" t="inlineStr">
        <is>
          <t>0₽</t>
        </is>
      </c>
      <c r="X84" s="2" t="n">
        <v>6.0</v>
      </c>
      <c r="Y84" s="2" t="n">
        <v>4321.0</v>
      </c>
      <c r="Z84" s="2" t="inlineStr">
        <is>
          <t>4.9</t>
        </is>
      </c>
      <c r="AA84" s="3" t="inlineStr">
        <is>
          <t>2026-05-25
&lt; 1 个月</t>
        </is>
      </c>
      <c r="AB84" s="2" t="inlineStr">
        <is>
          <t>76 g</t>
        </is>
      </c>
      <c r="AC84" s="2" t="inlineStr">
        <is>
          <t>0.847 L</t>
        </is>
      </c>
      <c r="AD84" s="2" t="inlineStr">
        <is>
          <t>Runbo Trading Co., Ltd</t>
        </is>
      </c>
      <c r="AE84" s="2" t="inlineStr">
        <is>
          <t>跨境卖家</t>
        </is>
      </c>
      <c r="AF84" s="2" t="inlineStr">
        <is>
          <t>RFBS</t>
        </is>
      </c>
      <c r="AG84" s="2" t="n">
        <v>38.0</v>
      </c>
    </row>
    <row r="85" customHeight="true" ht="64.0">
      <c r="A85" s="2" t="n">
        <v>84.0</v>
      </c>
      <c r="B85" s="2" t="inlineStr">
        <is>
          <t>https://ir.ozone.ru/s3/multimedia-1-k/wc300/10846050320.jpg</t>
        </is>
      </c>
      <c r="C85" s="2" t="n">
        <f>IF(ISERROR(IMAGE("https://ir.ozone.ru/s3/multimedia-1-k/wc300/10846050320.jpg")),"请使用新版Excel2024查看图片",IMAGE("https://ir.ozone.ru/s3/multimedia-1-k/wc300/10846050320.jpg"))</f>
        <v>0.0</v>
      </c>
      <c r="D85" s="2" t="inlineStr">
        <is>
          <t>Redmagic Смартфон REDMAGIC 11s Pro Global 16/512 ГБ, Nano-SIM, черный</t>
        </is>
      </c>
      <c r="E85" s="2" t="inlineStr">
        <is>
          <t>https://www.ozon.ru/product/4456959718</t>
        </is>
      </c>
      <c r="F85" s="2" t="n">
        <v>4.456959718E9</v>
      </c>
      <c r="G85" s="2" t="inlineStr">
        <is>
          <t>Redmagic</t>
        </is>
      </c>
      <c r="H85" s="3" t="inlineStr">
        <is>
          <t>智能手机
Смартфон</t>
        </is>
      </c>
      <c r="I85" s="3" t="inlineStr">
        <is>
          <t>跨境卖家可售</t>
        </is>
      </c>
      <c r="J85" s="2" t="inlineStr">
        <is>
          <t>74447₽</t>
        </is>
      </c>
      <c r="K85" s="2" t="n">
        <v>6.0</v>
      </c>
      <c r="L85" s="2" t="inlineStr">
        <is>
          <t>446682₽</t>
        </is>
      </c>
      <c r="M85" s="2" t="inlineStr">
        <is>
          <t>100%</t>
        </is>
      </c>
      <c r="N85" s="2" t="inlineStr">
        <is>
          <t>100%</t>
        </is>
      </c>
      <c r="O85" s="2" t="inlineStr">
        <is>
          <t>57.2%</t>
        </is>
      </c>
      <c r="P85" s="2" t="n">
        <v>18968.0</v>
      </c>
      <c r="Q85" s="2" t="n">
        <v>2284.0</v>
      </c>
      <c r="R85" s="2" t="n">
        <v>4982.0</v>
      </c>
      <c r="S85" s="2" t="inlineStr">
        <is>
          <t>2.74%</t>
        </is>
      </c>
      <c r="T85" s="2" t="inlineStr">
        <is>
          <t>5.8%</t>
        </is>
      </c>
      <c r="U85" s="2" t="inlineStr">
        <is>
          <t>0.0%</t>
        </is>
      </c>
      <c r="V85" s="2"/>
      <c r="W85" s="2" t="inlineStr">
        <is>
          <t>0₽</t>
        </is>
      </c>
      <c r="X85" s="2" t="n">
        <v>7.0</v>
      </c>
      <c r="Y85" s="2" t="n">
        <v>319.0</v>
      </c>
      <c r="Z85" s="2" t="inlineStr">
        <is>
          <t>4.9</t>
        </is>
      </c>
      <c r="AA85" s="3" t="inlineStr">
        <is>
          <t>2026-05-27
&lt; 1 个月</t>
        </is>
      </c>
      <c r="AB85" s="2" t="inlineStr">
        <is>
          <t>300 g</t>
        </is>
      </c>
      <c r="AC85" s="2" t="inlineStr">
        <is>
          <t>3.15 L</t>
        </is>
      </c>
      <c r="AD85" s="2" t="inlineStr">
        <is>
          <t>CHCC STORE</t>
        </is>
      </c>
      <c r="AE85" s="2" t="inlineStr">
        <is>
          <t>跨境卖家</t>
        </is>
      </c>
      <c r="AF85" s="2" t="inlineStr">
        <is>
          <t>RFBS</t>
        </is>
      </c>
      <c r="AG85" s="2" t="n">
        <v>232.0</v>
      </c>
    </row>
    <row r="86" customHeight="true" ht="64.0">
      <c r="A86" s="2" t="n">
        <v>85.0</v>
      </c>
      <c r="B86" s="2" t="inlineStr">
        <is>
          <t>https://ir.ozone.ru/s3/multimedia-1-1/wc300/11020650913.jpg</t>
        </is>
      </c>
      <c r="C86" s="2" t="n">
        <f>IF(ISERROR(IMAGE("https://ir.ozone.ru/s3/multimedia-1-1/wc300/11020650913.jpg")),"请使用新版Excel2024查看图片",IMAGE("https://ir.ozone.ru/s3/multimedia-1-1/wc300/11020650913.jpg"))</f>
        <v>0.0</v>
      </c>
      <c r="D86" s="2" t="inlineStr">
        <is>
          <t>Redmagic Смартфон 11Spro Global 16/512 ГБ, коричневый, черный</t>
        </is>
      </c>
      <c r="E86" s="2" t="inlineStr">
        <is>
          <t>https://www.ozon.ru/product/4456980727</t>
        </is>
      </c>
      <c r="F86" s="2" t="n">
        <v>4.456980727E9</v>
      </c>
      <c r="G86" s="2" t="inlineStr">
        <is>
          <t>Redmagic</t>
        </is>
      </c>
      <c r="H86" s="3" t="inlineStr">
        <is>
          <t>智能手机
Смартфон</t>
        </is>
      </c>
      <c r="I86" s="3" t="inlineStr">
        <is>
          <t>跨境卖家可售</t>
        </is>
      </c>
      <c r="J86" s="2" t="inlineStr">
        <is>
          <t>74337₽</t>
        </is>
      </c>
      <c r="K86" s="2" t="n">
        <v>6.0</v>
      </c>
      <c r="L86" s="2" t="inlineStr">
        <is>
          <t>446022₽</t>
        </is>
      </c>
      <c r="M86" s="2" t="inlineStr">
        <is>
          <t>100%</t>
        </is>
      </c>
      <c r="N86" s="2" t="inlineStr">
        <is>
          <t>100%</t>
        </is>
      </c>
      <c r="O86" s="2" t="inlineStr">
        <is>
          <t>57.2%</t>
        </is>
      </c>
      <c r="P86" s="2" t="n">
        <v>23649.0</v>
      </c>
      <c r="Q86" s="2" t="n">
        <v>6227.0</v>
      </c>
      <c r="R86" s="2" t="n">
        <v>4915.0</v>
      </c>
      <c r="S86" s="2" t="inlineStr">
        <is>
          <t>3.96%</t>
        </is>
      </c>
      <c r="T86" s="2" t="inlineStr">
        <is>
          <t>3.1%</t>
        </is>
      </c>
      <c r="U86" s="2" t="inlineStr">
        <is>
          <t>0.97%</t>
        </is>
      </c>
      <c r="V86" s="2"/>
      <c r="W86" s="2" t="inlineStr">
        <is>
          <t>0₽</t>
        </is>
      </c>
      <c r="X86" s="2" t="n">
        <v>15.0</v>
      </c>
      <c r="Y86" s="2" t="n">
        <v>324.0</v>
      </c>
      <c r="Z86" s="2" t="inlineStr">
        <is>
          <t>4.9</t>
        </is>
      </c>
      <c r="AA86" s="3" t="inlineStr">
        <is>
          <t>2026-05-27
&lt; 1 个月</t>
        </is>
      </c>
      <c r="AB86" s="2" t="inlineStr">
        <is>
          <t>300 g</t>
        </is>
      </c>
      <c r="AC86" s="2" t="inlineStr">
        <is>
          <t>3.15 L</t>
        </is>
      </c>
      <c r="AD86" s="2" t="inlineStr">
        <is>
          <t>NUBIA Global Store</t>
        </is>
      </c>
      <c r="AE86" s="2" t="inlineStr">
        <is>
          <t>跨境卖家</t>
        </is>
      </c>
      <c r="AF86" s="2" t="inlineStr">
        <is>
          <t>RFBS</t>
        </is>
      </c>
      <c r="AG86" s="2" t="n">
        <v>258.0</v>
      </c>
    </row>
    <row r="87" customHeight="true" ht="64.0">
      <c r="A87" s="2" t="n">
        <v>86.0</v>
      </c>
      <c r="B87" s="2" t="inlineStr">
        <is>
          <t>https://ir.ozone.ru/s3/multimedia-1-m/wc300/10725497698.jpg</t>
        </is>
      </c>
      <c r="C87" s="2" t="n">
        <f>IF(ISERROR(IMAGE("https://ir.ozone.ru/s3/multimedia-1-m/wc300/10725497698.jpg")),"请使用新版Excel2024查看图片",IMAGE("https://ir.ozone.ru/s3/multimedia-1-m/wc300/10725497698.jpg"))</f>
        <v>0.0</v>
      </c>
      <c r="D87" s="2" t="inlineStr">
        <is>
          <t xml:space="preserve"> Ноутбук MECHREVO MECHREVO-NBсерия, AMD Ryzen AI 9 365, RAM32 ГБ, SSD 1024 ГБ AMD Radeon, Windows Home, белый</t>
        </is>
      </c>
      <c r="E87" s="2" t="inlineStr">
        <is>
          <t>https://www.ozon.ru/product/4413503420</t>
        </is>
      </c>
      <c r="F87" s="2" t="n">
        <v>4.41350342E9</v>
      </c>
      <c r="G87" s="2" t="inlineStr">
        <is>
          <t/>
        </is>
      </c>
      <c r="H87" s="3" t="inlineStr">
        <is>
          <t>笔记本电脑
Ноутбук</t>
        </is>
      </c>
      <c r="I87" s="3" t="inlineStr">
        <is>
          <t>跨境卖家可售</t>
        </is>
      </c>
      <c r="J87" s="2" t="inlineStr">
        <is>
          <t>63260₽</t>
        </is>
      </c>
      <c r="K87" s="2" t="n">
        <v>7.0</v>
      </c>
      <c r="L87" s="2" t="inlineStr">
        <is>
          <t>442820₽</t>
        </is>
      </c>
      <c r="M87" s="2" t="inlineStr">
        <is>
          <t>100%</t>
        </is>
      </c>
      <c r="N87" s="2" t="inlineStr">
        <is>
          <t>100%</t>
        </is>
      </c>
      <c r="O87" s="2" t="inlineStr">
        <is>
          <t>60.7%</t>
        </is>
      </c>
      <c r="P87" s="2" t="n">
        <v>22461.0</v>
      </c>
      <c r="Q87" s="2" t="n">
        <v>3867.0</v>
      </c>
      <c r="R87" s="2" t="n">
        <v>2311.0</v>
      </c>
      <c r="S87" s="2" t="inlineStr">
        <is>
          <t>4.63%</t>
        </is>
      </c>
      <c r="T87" s="2" t="inlineStr">
        <is>
          <t>6.5%</t>
        </is>
      </c>
      <c r="U87" s="2" t="inlineStr">
        <is>
          <t>0.9%</t>
        </is>
      </c>
      <c r="V87" s="2"/>
      <c r="W87" s="2" t="inlineStr">
        <is>
          <t>0₽</t>
        </is>
      </c>
      <c r="X87" s="2" t="n">
        <v>1.0</v>
      </c>
      <c r="Y87" s="2"/>
      <c r="Z87" s="2"/>
      <c r="AA87" s="3" t="inlineStr">
        <is>
          <t>2026-05-23
&lt; 1 个月</t>
        </is>
      </c>
      <c r="AB87" s="2" t="inlineStr">
        <is>
          <t>3000 g</t>
        </is>
      </c>
      <c r="AC87" s="2" t="inlineStr">
        <is>
          <t>90 L</t>
        </is>
      </c>
      <c r="AD87" s="2" t="inlineStr">
        <is>
          <t>H-B</t>
        </is>
      </c>
      <c r="AE87" s="2" t="inlineStr">
        <is>
          <t>跨境卖家</t>
        </is>
      </c>
      <c r="AF87" s="2" t="inlineStr">
        <is>
          <t>RFBS</t>
        </is>
      </c>
      <c r="AG87" s="2" t="n">
        <v>0.0</v>
      </c>
    </row>
    <row r="88" customHeight="true" ht="64.0">
      <c r="A88" s="2" t="n">
        <v>87.0</v>
      </c>
      <c r="B88" s="2" t="inlineStr">
        <is>
          <t>https://ir.ozone.ru/s3/multimedia-1-y/wc300/10591557730.jpg</t>
        </is>
      </c>
      <c r="C88" s="2" t="n">
        <f>IF(ISERROR(IMAGE("https://ir.ozone.ru/s3/multimedia-1-y/wc300/10591557730.jpg")),"请使用新版Excel2024查看图片",IMAGE("https://ir.ozone.ru/s3/multimedia-1-y/wc300/10591557730.jpg"))</f>
        <v>0.0</v>
      </c>
      <c r="D88" s="2" t="inlineStr">
        <is>
          <t>Электросамокат diandongche_mz-20260519-R72F-10002</t>
        </is>
      </c>
      <c r="E88" s="2" t="inlineStr">
        <is>
          <t>https://www.ozon.ru/product/4364736564</t>
        </is>
      </c>
      <c r="F88" s="2" t="n">
        <v>4.364736564E9</v>
      </c>
      <c r="G88" s="2" t="inlineStr">
        <is>
          <t/>
        </is>
      </c>
      <c r="H88" s="3" t="inlineStr">
        <is>
          <t>电动滑板车
Электросамокат</t>
        </is>
      </c>
      <c r="I88" s="3" t="inlineStr">
        <is>
          <t>跨境卖家可售</t>
        </is>
      </c>
      <c r="J88" s="2" t="inlineStr">
        <is>
          <t>23947₽</t>
        </is>
      </c>
      <c r="K88" s="2" t="n">
        <v>20.0</v>
      </c>
      <c r="L88" s="2" t="inlineStr">
        <is>
          <t>440226₽</t>
        </is>
      </c>
      <c r="M88" s="2" t="inlineStr">
        <is>
          <t>100%</t>
        </is>
      </c>
      <c r="N88" s="2" t="inlineStr">
        <is>
          <t>100%</t>
        </is>
      </c>
      <c r="O88" s="2" t="inlineStr">
        <is>
          <t>49.2%</t>
        </is>
      </c>
      <c r="P88" s="2" t="n">
        <v>4792.0</v>
      </c>
      <c r="Q88" s="2" t="n">
        <v>1520.0</v>
      </c>
      <c r="R88" s="2" t="n">
        <v>1147.0</v>
      </c>
      <c r="S88" s="2" t="inlineStr">
        <is>
          <t>8.89%</t>
        </is>
      </c>
      <c r="T88" s="2" t="inlineStr">
        <is>
          <t>19.6%</t>
        </is>
      </c>
      <c r="U88" s="2" t="inlineStr">
        <is>
          <t>0.0%</t>
        </is>
      </c>
      <c r="V88" s="2"/>
      <c r="W88" s="2" t="inlineStr">
        <is>
          <t>0₽</t>
        </is>
      </c>
      <c r="X88" s="2" t="n">
        <v>1.0</v>
      </c>
      <c r="Y88" s="2"/>
      <c r="Z88" s="2"/>
      <c r="AA88" s="3" t="inlineStr">
        <is>
          <t>2026-05-19
&lt; 1 个月</t>
        </is>
      </c>
      <c r="AB88" s="2" t="inlineStr">
        <is>
          <t>22000 g</t>
        </is>
      </c>
      <c r="AC88" s="2" t="inlineStr">
        <is>
          <t>101.007 L</t>
        </is>
      </c>
      <c r="AD88" s="2" t="inlineStr">
        <is>
          <t>Заря Shop</t>
        </is>
      </c>
      <c r="AE88" s="2" t="inlineStr">
        <is>
          <t>跨境卖家</t>
        </is>
      </c>
      <c r="AF88" s="2" t="inlineStr">
        <is>
          <t>RFBS</t>
        </is>
      </c>
      <c r="AG88" s="2" t="n">
        <v>6.0</v>
      </c>
    </row>
    <row r="89" customHeight="true" ht="64.0">
      <c r="A89" s="2" t="n">
        <v>88.0</v>
      </c>
      <c r="B89" s="2" t="inlineStr">
        <is>
          <t>https://ir.ozone.ru/s3/multimedia-1-5/wc300/10672665197.jpg</t>
        </is>
      </c>
      <c r="C89" s="2" t="n">
        <f>IF(ISERROR(IMAGE("https://ir.ozone.ru/s3/multimedia-1-5/wc300/10672665197.jpg")),"请使用新版Excel2024查看图片",IMAGE("https://ir.ozone.ru/s3/multimedia-1-5/wc300/10672665197.jpg"))</f>
        <v>0.0</v>
      </c>
      <c r="D89" s="2" t="inlineStr">
        <is>
          <t>Apple Планшет, 11" 6 ГБ/128 ГБ, серебристый</t>
        </is>
      </c>
      <c r="E89" s="2" t="inlineStr">
        <is>
          <t>https://www.ozon.ru/product/4357949858</t>
        </is>
      </c>
      <c r="F89" s="2" t="n">
        <v>4.357949858E9</v>
      </c>
      <c r="G89" s="2" t="inlineStr">
        <is>
          <t>Apple</t>
        </is>
      </c>
      <c r="H89" s="3" t="inlineStr">
        <is>
          <t>平板电脑
Планшет</t>
        </is>
      </c>
      <c r="I89" s="3" t="inlineStr">
        <is>
          <t>跨境卖家可售</t>
        </is>
      </c>
      <c r="J89" s="2" t="inlineStr">
        <is>
          <t>29243₽</t>
        </is>
      </c>
      <c r="K89" s="2" t="n">
        <v>15.0</v>
      </c>
      <c r="L89" s="2" t="inlineStr">
        <is>
          <t>438645₽</t>
        </is>
      </c>
      <c r="M89" s="2" t="inlineStr">
        <is>
          <t>100%</t>
        </is>
      </c>
      <c r="N89" s="2" t="inlineStr">
        <is>
          <t>100%</t>
        </is>
      </c>
      <c r="O89" s="2" t="inlineStr">
        <is>
          <t>56.8%</t>
        </is>
      </c>
      <c r="P89" s="2" t="n">
        <v>17835.0</v>
      </c>
      <c r="Q89" s="2" t="n">
        <v>2091.0</v>
      </c>
      <c r="R89" s="2" t="n">
        <v>2023.0</v>
      </c>
      <c r="S89" s="2" t="inlineStr">
        <is>
          <t>8.74%</t>
        </is>
      </c>
      <c r="T89" s="2" t="inlineStr">
        <is>
          <t>8.5%</t>
        </is>
      </c>
      <c r="U89" s="2" t="inlineStr">
        <is>
          <t>4.86%</t>
        </is>
      </c>
      <c r="V89" s="2"/>
      <c r="W89" s="2" t="inlineStr">
        <is>
          <t>0₽</t>
        </is>
      </c>
      <c r="X89" s="2" t="n">
        <v>3.0</v>
      </c>
      <c r="Y89" s="2"/>
      <c r="Z89" s="2"/>
      <c r="AA89" s="3" t="inlineStr">
        <is>
          <t>2026-05-18
&lt; 1 个月</t>
        </is>
      </c>
      <c r="AB89" s="2" t="inlineStr">
        <is>
          <t>880 g</t>
        </is>
      </c>
      <c r="AC89" s="2" t="inlineStr">
        <is>
          <t>2.537 L</t>
        </is>
      </c>
      <c r="AD89" s="2" t="inlineStr">
        <is>
          <t>DU-BAY</t>
        </is>
      </c>
      <c r="AE89" s="2" t="inlineStr">
        <is>
          <t>跨境卖家</t>
        </is>
      </c>
      <c r="AF89" s="2" t="inlineStr">
        <is>
          <t>RFBS</t>
        </is>
      </c>
      <c r="AG89" s="2" t="n">
        <v>6.0</v>
      </c>
    </row>
    <row r="90" customHeight="true" ht="64.0">
      <c r="A90" s="2" t="n">
        <v>89.0</v>
      </c>
      <c r="B90" s="2" t="inlineStr">
        <is>
          <t>https://ir.ozone.ru/s3/multimedia-1-z/wc300/10631849183.jpg</t>
        </is>
      </c>
      <c r="C90" s="2" t="n">
        <f>IF(ISERROR(IMAGE("https://ir.ozone.ru/s3/multimedia-1-z/wc300/10631849183.jpg")),"请使用新版Excel2024查看图片",IMAGE("https://ir.ozone.ru/s3/multimedia-1-z/wc300/10631849183.jpg"))</f>
        <v>0.0</v>
      </c>
      <c r="D90" s="2" t="inlineStr">
        <is>
          <t>Матрас, Беспружинный, 90х190 см</t>
        </is>
      </c>
      <c r="E90" s="2" t="inlineStr">
        <is>
          <t>https://www.ozon.ru/product/4379048983</t>
        </is>
      </c>
      <c r="F90" s="2" t="n">
        <v>4.379048983E9</v>
      </c>
      <c r="G90" s="2" t="inlineStr">
        <is>
          <t/>
        </is>
      </c>
      <c r="H90" s="3" t="inlineStr">
        <is>
          <t>床垫
Матрас</t>
        </is>
      </c>
      <c r="I90" s="3" t="inlineStr">
        <is>
          <t>跨境卖家可售</t>
        </is>
      </c>
      <c r="J90" s="2" t="inlineStr">
        <is>
          <t>3283₽</t>
        </is>
      </c>
      <c r="K90" s="2" t="n">
        <v>133.0</v>
      </c>
      <c r="L90" s="2" t="inlineStr">
        <is>
          <t>436639₽</t>
        </is>
      </c>
      <c r="M90" s="2" t="inlineStr">
        <is>
          <t>100%</t>
        </is>
      </c>
      <c r="N90" s="2" t="inlineStr">
        <is>
          <t>100%</t>
        </is>
      </c>
      <c r="O90" s="2" t="inlineStr">
        <is>
          <t/>
        </is>
      </c>
      <c r="P90" s="2" t="n">
        <v>5698.0</v>
      </c>
      <c r="Q90" s="2" t="n">
        <v>235.0</v>
      </c>
      <c r="R90" s="2" t="n">
        <v>3013.0</v>
      </c>
      <c r="S90" s="2" t="inlineStr">
        <is>
          <t>16.06%</t>
        </is>
      </c>
      <c r="T90" s="2" t="inlineStr">
        <is>
          <t>27.5%</t>
        </is>
      </c>
      <c r="U90" s="2" t="inlineStr">
        <is>
          <t>0.0%</t>
        </is>
      </c>
      <c r="V90" s="2"/>
      <c r="W90" s="2" t="inlineStr">
        <is>
          <t>0₽</t>
        </is>
      </c>
      <c r="X90" s="2" t="n">
        <v>1.0</v>
      </c>
      <c r="Y90" s="2"/>
      <c r="Z90" s="2"/>
      <c r="AA90" s="3" t="inlineStr">
        <is>
          <t>2026-05-20
&lt; 1 个月</t>
        </is>
      </c>
      <c r="AB90" s="2" t="inlineStr">
        <is>
          <t/>
        </is>
      </c>
      <c r="AC90" s="2" t="inlineStr">
        <is>
          <t/>
        </is>
      </c>
      <c r="AD90" s="2" t="inlineStr">
        <is>
          <t>GZC03</t>
        </is>
      </c>
      <c r="AE90" s="2" t="inlineStr">
        <is>
          <t>跨境卖家</t>
        </is>
      </c>
      <c r="AF90" s="2" t="inlineStr">
        <is>
          <t>RFBS</t>
        </is>
      </c>
      <c r="AG90" s="2" t="n">
        <v>0.0</v>
      </c>
    </row>
    <row r="91" customHeight="true" ht="64.0">
      <c r="A91" s="2" t="n">
        <v>90.0</v>
      </c>
      <c r="B91" s="2" t="inlineStr">
        <is>
          <t>https://ir.ozone.ru/s3/multimedia-1-y/wc300/10715990290.jpg</t>
        </is>
      </c>
      <c r="C91" s="2" t="n">
        <f>IF(ISERROR(IMAGE("https://ir.ozone.ru/s3/multimedia-1-y/wc300/10715990290.jpg")),"请使用新版Excel2024查看图片",IMAGE("https://ir.ozone.ru/s3/multimedia-1-y/wc300/10715990290.jpg"))</f>
        <v>0.0</v>
      </c>
      <c r="D91" s="2" t="inlineStr">
        <is>
          <t>Edifier Студийный монитор MR3BT</t>
        </is>
      </c>
      <c r="E91" s="2" t="inlineStr">
        <is>
          <t>https://www.ozon.ru/product/4409893323</t>
        </is>
      </c>
      <c r="F91" s="2" t="n">
        <v>4.409893323E9</v>
      </c>
      <c r="G91" s="2" t="inlineStr">
        <is>
          <t/>
        </is>
      </c>
      <c r="H91" s="3" t="inlineStr">
        <is>
          <t>电脑音响系统
Компьютерная акустика</t>
        </is>
      </c>
      <c r="I91" s="3" t="inlineStr">
        <is>
          <t>跨境卖家可售</t>
        </is>
      </c>
      <c r="J91" s="2" t="inlineStr">
        <is>
          <t>8150₽</t>
        </is>
      </c>
      <c r="K91" s="2" t="n">
        <v>54.0</v>
      </c>
      <c r="L91" s="2" t="inlineStr">
        <is>
          <t>435103₽</t>
        </is>
      </c>
      <c r="M91" s="2" t="inlineStr">
        <is>
          <t>100%</t>
        </is>
      </c>
      <c r="N91" s="2" t="inlineStr">
        <is>
          <t>100%</t>
        </is>
      </c>
      <c r="O91" s="2" t="inlineStr">
        <is>
          <t>52.5%</t>
        </is>
      </c>
      <c r="P91" s="2" t="n">
        <v>11572.0</v>
      </c>
      <c r="Q91" s="2" t="n">
        <v>730.0</v>
      </c>
      <c r="R91" s="2" t="n">
        <v>5873.0</v>
      </c>
      <c r="S91" s="2" t="inlineStr">
        <is>
          <t>3.59%</t>
        </is>
      </c>
      <c r="T91" s="2" t="inlineStr">
        <is>
          <t>25.6%</t>
        </is>
      </c>
      <c r="U91" s="2" t="inlineStr">
        <is>
          <t>0.0%</t>
        </is>
      </c>
      <c r="V91" s="2"/>
      <c r="W91" s="2" t="inlineStr">
        <is>
          <t>0₽</t>
        </is>
      </c>
      <c r="X91" s="2" t="n">
        <v>2.0</v>
      </c>
      <c r="Y91" s="2"/>
      <c r="Z91" s="2"/>
      <c r="AA91" s="3" t="inlineStr">
        <is>
          <t>2026-05-23
&lt; 1 个月</t>
        </is>
      </c>
      <c r="AB91" s="2" t="inlineStr">
        <is>
          <t>5500 g</t>
        </is>
      </c>
      <c r="AC91" s="2" t="inlineStr">
        <is>
          <t>24 L</t>
        </is>
      </c>
      <c r="AD91" s="2" t="inlineStr">
        <is>
          <t>Tongtong Shop</t>
        </is>
      </c>
      <c r="AE91" s="2" t="inlineStr">
        <is>
          <t>跨境卖家</t>
        </is>
      </c>
      <c r="AF91" s="2" t="inlineStr">
        <is>
          <t>RFBS</t>
        </is>
      </c>
      <c r="AG91" s="2" t="n">
        <v>9.0</v>
      </c>
    </row>
    <row r="92" customHeight="true" ht="64.0">
      <c r="A92" s="2" t="n">
        <v>91.0</v>
      </c>
      <c r="B92" s="2" t="inlineStr">
        <is>
          <t>https://ir.ozone.ru/s3/multimedia-1-a/wc300/10881563374.jpg</t>
        </is>
      </c>
      <c r="C92" s="2" t="n">
        <f>IF(ISERROR(IMAGE("https://ir.ozone.ru/s3/multimedia-1-a/wc300/10881563374.jpg")),"请使用新版Excel2024查看图片",IMAGE("https://ir.ozone.ru/s3/multimedia-1-a/wc300/10881563374.jpg"))</f>
        <v>0.0</v>
      </c>
      <c r="D92" s="2" t="inlineStr">
        <is>
          <t>MP3-плеер, черный</t>
        </is>
      </c>
      <c r="E92" s="2" t="inlineStr">
        <is>
          <t>https://www.ozon.ru/product/4475309434</t>
        </is>
      </c>
      <c r="F92" s="2" t="n">
        <v>4.475309434E9</v>
      </c>
      <c r="G92" s="2" t="inlineStr">
        <is>
          <t/>
        </is>
      </c>
      <c r="H92" s="3" t="inlineStr">
        <is>
          <t>MP3播放器
MP3-плеер</t>
        </is>
      </c>
      <c r="I92" s="3" t="inlineStr">
        <is>
          <t>跨境卖家可售</t>
        </is>
      </c>
      <c r="J92" s="2" t="inlineStr">
        <is>
          <t>108708₽</t>
        </is>
      </c>
      <c r="K92" s="2" t="n">
        <v>4.0</v>
      </c>
      <c r="L92" s="2" t="inlineStr">
        <is>
          <t>434832₽</t>
        </is>
      </c>
      <c r="M92" s="2" t="inlineStr">
        <is>
          <t>100%</t>
        </is>
      </c>
      <c r="N92" s="2" t="inlineStr">
        <is>
          <t>100%</t>
        </is>
      </c>
      <c r="O92" s="2" t="inlineStr">
        <is>
          <t/>
        </is>
      </c>
      <c r="P92" s="2" t="n">
        <v>266.0</v>
      </c>
      <c r="Q92" s="2" t="n">
        <v>58.0</v>
      </c>
      <c r="R92" s="2" t="n">
        <v>82.0</v>
      </c>
      <c r="S92" s="2" t="inlineStr">
        <is>
          <t>3.65%</t>
        </is>
      </c>
      <c r="T92" s="2" t="inlineStr">
        <is>
          <t>133.3%</t>
        </is>
      </c>
      <c r="U92" s="2" t="inlineStr">
        <is>
          <t>0.0%</t>
        </is>
      </c>
      <c r="V92" s="2"/>
      <c r="W92" s="2" t="inlineStr">
        <is>
          <t>0₽</t>
        </is>
      </c>
      <c r="X92" s="2" t="n">
        <v>1.0</v>
      </c>
      <c r="Y92" s="2"/>
      <c r="Z92" s="2"/>
      <c r="AA92" s="3" t="inlineStr">
        <is>
          <t>2026-05-28
&lt; 1 个月</t>
        </is>
      </c>
      <c r="AB92" s="2" t="inlineStr">
        <is>
          <t/>
        </is>
      </c>
      <c r="AC92" s="2" t="inlineStr">
        <is>
          <t/>
        </is>
      </c>
      <c r="AD92" s="2" t="inlineStr">
        <is>
          <t>ningbo4</t>
        </is>
      </c>
      <c r="AE92" s="2" t="inlineStr">
        <is>
          <t>跨境卖家</t>
        </is>
      </c>
      <c r="AF92" s="2" t="inlineStr">
        <is>
          <t>RFBS</t>
        </is>
      </c>
      <c r="AG92" s="2" t="n">
        <v>0.0</v>
      </c>
    </row>
    <row r="93" customHeight="true" ht="64.0">
      <c r="A93" s="2" t="n">
        <v>92.0</v>
      </c>
      <c r="B93" s="2" t="inlineStr">
        <is>
          <t>https://ir.ozone.ru/s3/multimedia-1-b/wc300/10642479347.jpg</t>
        </is>
      </c>
      <c r="C93" s="2" t="n">
        <f>IF(ISERROR(IMAGE("https://ir.ozone.ru/s3/multimedia-1-b/wc300/10642479347.jpg")),"请使用新版Excel2024查看图片",IMAGE("https://ir.ozone.ru/s3/multimedia-1-b/wc300/10642479347.jpg"))</f>
        <v>0.0</v>
      </c>
      <c r="D93" s="2" t="inlineStr">
        <is>
          <t>Катушка, диаметр катушки: 58 мм</t>
        </is>
      </c>
      <c r="E93" s="2" t="inlineStr">
        <is>
          <t>https://www.ozon.ru/product/4382411496</t>
        </is>
      </c>
      <c r="F93" s="2" t="n">
        <v>4.382411496E9</v>
      </c>
      <c r="G93" s="2" t="inlineStr">
        <is>
          <t/>
        </is>
      </c>
      <c r="H93" s="3" t="inlineStr">
        <is>
          <t>线圈
Катушка</t>
        </is>
      </c>
      <c r="I93" s="3" t="inlineStr">
        <is>
          <t>跨境卖家可售</t>
        </is>
      </c>
      <c r="J93" s="2" t="inlineStr">
        <is>
          <t>576₽</t>
        </is>
      </c>
      <c r="K93" s="2" t="n">
        <v>685.0</v>
      </c>
      <c r="L93" s="2" t="inlineStr">
        <is>
          <t>434702₽</t>
        </is>
      </c>
      <c r="M93" s="2" t="inlineStr">
        <is>
          <t>100%</t>
        </is>
      </c>
      <c r="N93" s="2" t="inlineStr">
        <is>
          <t>100%</t>
        </is>
      </c>
      <c r="O93" s="2" t="inlineStr">
        <is>
          <t>54.4%</t>
        </is>
      </c>
      <c r="P93" s="2" t="n">
        <v>31446.0</v>
      </c>
      <c r="Q93" s="2" t="n">
        <v>822.0</v>
      </c>
      <c r="R93" s="2" t="n">
        <v>13623.0</v>
      </c>
      <c r="S93" s="2" t="inlineStr">
        <is>
          <t>26.96%</t>
        </is>
      </c>
      <c r="T93" s="2" t="inlineStr">
        <is>
          <t>18.6%</t>
        </is>
      </c>
      <c r="U93" s="2" t="inlineStr">
        <is>
          <t>0.0%</t>
        </is>
      </c>
      <c r="V93" s="2"/>
      <c r="W93" s="2" t="inlineStr">
        <is>
          <t>0₽</t>
        </is>
      </c>
      <c r="X93" s="2" t="n">
        <v>1.0</v>
      </c>
      <c r="Y93" s="2"/>
      <c r="Z93" s="2"/>
      <c r="AA93" s="3" t="inlineStr">
        <is>
          <t>2026-05-20
&lt; 1 个月</t>
        </is>
      </c>
      <c r="AB93" s="2" t="inlineStr">
        <is>
          <t>270 g</t>
        </is>
      </c>
      <c r="AC93" s="2" t="inlineStr">
        <is>
          <t>2.243 L</t>
        </is>
      </c>
      <c r="AD93" s="2" t="inlineStr">
        <is>
          <t>Компания по торговле «Пинси» города Хайкоу</t>
        </is>
      </c>
      <c r="AE93" s="2" t="inlineStr">
        <is>
          <t>跨境卖家</t>
        </is>
      </c>
      <c r="AF93" s="2" t="inlineStr">
        <is>
          <t>RFBS</t>
        </is>
      </c>
      <c r="AG93" s="2" t="n">
        <v>6.0</v>
      </c>
    </row>
    <row r="94" customHeight="true" ht="64.0">
      <c r="A94" s="2" t="n">
        <v>93.0</v>
      </c>
      <c r="B94" s="2" t="inlineStr">
        <is>
          <t>https://ir.ozone.ru/s3/multimedia-1-4/wc300/8270793364.jpg</t>
        </is>
      </c>
      <c r="C94" s="2" t="n">
        <f>IF(ISERROR(IMAGE("https://ir.ozone.ru/s3/multimedia-1-4/wc300/8270793364.jpg")),"请使用新版Excel2024查看图片",IMAGE("https://ir.ozone.ru/s3/multimedia-1-4/wc300/8270793364.jpg"))</f>
        <v>0.0</v>
      </c>
      <c r="D94" s="2" t="inlineStr">
        <is>
          <t>Смартфон Redmagic 11spro  16/, subzero</t>
        </is>
      </c>
      <c r="E94" s="2" t="inlineStr">
        <is>
          <t>https://www.ozon.ru/product/4456705278</t>
        </is>
      </c>
      <c r="F94" s="2" t="n">
        <v>4.456705278E9</v>
      </c>
      <c r="G94" s="2" t="inlineStr">
        <is>
          <t/>
        </is>
      </c>
      <c r="H94" s="3" t="inlineStr">
        <is>
          <t>智能手机
Смартфон</t>
        </is>
      </c>
      <c r="I94" s="3" t="inlineStr">
        <is>
          <t>跨境卖家可售</t>
        </is>
      </c>
      <c r="J94" s="2" t="inlineStr">
        <is>
          <t>72274₽</t>
        </is>
      </c>
      <c r="K94" s="2" t="n">
        <v>6.0</v>
      </c>
      <c r="L94" s="2" t="inlineStr">
        <is>
          <t>433644₽</t>
        </is>
      </c>
      <c r="M94" s="2" t="inlineStr">
        <is>
          <t>100%</t>
        </is>
      </c>
      <c r="N94" s="2" t="inlineStr">
        <is>
          <t>100%</t>
        </is>
      </c>
      <c r="O94" s="2" t="inlineStr">
        <is>
          <t/>
        </is>
      </c>
      <c r="P94" s="2" t="n">
        <v>19654.0</v>
      </c>
      <c r="Q94" s="2" t="n">
        <v>5605.0</v>
      </c>
      <c r="R94" s="2" t="n">
        <v>3852.0</v>
      </c>
      <c r="S94" s="2" t="inlineStr">
        <is>
          <t>3.37%</t>
        </is>
      </c>
      <c r="T94" s="2" t="inlineStr">
        <is>
          <t>4.6%</t>
        </is>
      </c>
      <c r="U94" s="2" t="inlineStr">
        <is>
          <t>0.55%</t>
        </is>
      </c>
      <c r="V94" s="2"/>
      <c r="W94" s="2" t="inlineStr">
        <is>
          <t>0₽</t>
        </is>
      </c>
      <c r="X94" s="2" t="n">
        <v>15.0</v>
      </c>
      <c r="Y94" s="2" t="n">
        <v>324.0</v>
      </c>
      <c r="Z94" s="2"/>
      <c r="AA94" s="3" t="inlineStr">
        <is>
          <t>2026-05-27
&lt; 1 个月</t>
        </is>
      </c>
      <c r="AB94" s="2" t="inlineStr">
        <is>
          <t/>
        </is>
      </c>
      <c r="AC94" s="2" t="inlineStr">
        <is>
          <t/>
        </is>
      </c>
      <c r="AD94" s="2" t="inlineStr">
        <is>
          <t>NUBIA Global Store</t>
        </is>
      </c>
      <c r="AE94" s="2" t="inlineStr">
        <is>
          <t>跨境卖家</t>
        </is>
      </c>
      <c r="AF94" s="2" t="inlineStr">
        <is>
          <t>RFBS</t>
        </is>
      </c>
      <c r="AG94" s="2" t="n">
        <v>258.0</v>
      </c>
    </row>
    <row r="95" customHeight="true" ht="64.0">
      <c r="A95" s="2" t="n">
        <v>94.0</v>
      </c>
      <c r="B95" s="2" t="inlineStr">
        <is>
          <t>https://ir.ozone.ru/s3/multimedia-1-7/wc300/10522610431.jpg</t>
        </is>
      </c>
      <c r="C95" s="2" t="n">
        <f>IF(ISERROR(IMAGE("https://ir.ozone.ru/s3/multimedia-1-7/wc300/10522610431.jpg")),"请使用新版Excel2024查看图片",IMAGE("https://ir.ozone.ru/s3/multimedia-1-7/wc300/10522610431.jpg"))</f>
        <v>0.0</v>
      </c>
      <c r="D95" s="2" t="inlineStr">
        <is>
          <t>Детская горка с качелями</t>
        </is>
      </c>
      <c r="E95" s="2" t="inlineStr">
        <is>
          <t>https://www.ozon.ru/product/4330734645</t>
        </is>
      </c>
      <c r="F95" s="2" t="n">
        <v>4.330734645E9</v>
      </c>
      <c r="G95" s="2" t="inlineStr">
        <is>
          <t/>
        </is>
      </c>
      <c r="H95" s="3" t="inlineStr">
        <is>
          <t>儿童滑梯
Горка детская</t>
        </is>
      </c>
      <c r="I95" s="3" t="inlineStr">
        <is>
          <t>跨境卖家可售</t>
        </is>
      </c>
      <c r="J95" s="2" t="inlineStr">
        <is>
          <t>17128₽</t>
        </is>
      </c>
      <c r="K95" s="2" t="n">
        <v>25.0</v>
      </c>
      <c r="L95" s="2" t="inlineStr">
        <is>
          <t>428405₽</t>
        </is>
      </c>
      <c r="M95" s="2" t="inlineStr">
        <is>
          <t>100%</t>
        </is>
      </c>
      <c r="N95" s="2" t="inlineStr">
        <is>
          <t>100%</t>
        </is>
      </c>
      <c r="O95" s="2" t="inlineStr">
        <is>
          <t>53.8%</t>
        </is>
      </c>
      <c r="P95" s="2" t="n">
        <v>80865.0</v>
      </c>
      <c r="Q95" s="2" t="n">
        <v>8639.0</v>
      </c>
      <c r="R95" s="2" t="n">
        <v>4542.0</v>
      </c>
      <c r="S95" s="2" t="inlineStr">
        <is>
          <t>5.96%</t>
        </is>
      </c>
      <c r="T95" s="2" t="inlineStr">
        <is>
          <t>9.6%</t>
        </is>
      </c>
      <c r="U95" s="2" t="inlineStr">
        <is>
          <t>1.58%</t>
        </is>
      </c>
      <c r="V95" s="2"/>
      <c r="W95" s="2" t="inlineStr">
        <is>
          <t>0₽</t>
        </is>
      </c>
      <c r="X95" s="2" t="n">
        <v>4.0</v>
      </c>
      <c r="Y95" s="2" t="n">
        <v>126.0</v>
      </c>
      <c r="Z95" s="2" t="inlineStr">
        <is>
          <t>4.9</t>
        </is>
      </c>
      <c r="AA95" s="3" t="inlineStr">
        <is>
          <t>2026-05-16
&lt; 1 个月</t>
        </is>
      </c>
      <c r="AB95" s="2" t="inlineStr">
        <is>
          <t>28000 g</t>
        </is>
      </c>
      <c r="AC95" s="2" t="inlineStr">
        <is>
          <t>216 L</t>
        </is>
      </c>
      <c r="AD95" s="2" t="inlineStr">
        <is>
          <t>Технология Чиншань</t>
        </is>
      </c>
      <c r="AE95" s="2" t="inlineStr">
        <is>
          <t>跨境卖家</t>
        </is>
      </c>
      <c r="AF95" s="2" t="inlineStr">
        <is>
          <t>RFBS</t>
        </is>
      </c>
      <c r="AG95" s="2" t="n">
        <v>24.0</v>
      </c>
    </row>
    <row r="96" customHeight="true" ht="64.0">
      <c r="A96" s="2" t="n">
        <v>95.0</v>
      </c>
      <c r="B96" s="2" t="inlineStr">
        <is>
          <t>https://ir.ozone.ru/s3/multimedia-1-g/wc300/10478632552.jpg</t>
        </is>
      </c>
      <c r="C96" s="2" t="n">
        <f>IF(ISERROR(IMAGE("https://ir.ozone.ru/s3/multimedia-1-g/wc300/10478632552.jpg")),"请使用新版Excel2024查看图片",IMAGE("https://ir.ozone.ru/s3/multimedia-1-g/wc300/10478632552.jpg"))</f>
        <v>0.0</v>
      </c>
      <c r="D96" s="2" t="inlineStr">
        <is>
          <t>Передняя вилка ROCKSHOX RECON RLдля велосипеда, 29 дюймов, Блокировка плеча, BOOST, ход 140мм, 15x110мм</t>
        </is>
      </c>
      <c r="E96" s="2" t="inlineStr">
        <is>
          <t>https://www.ozon.ru/product/4309972601</t>
        </is>
      </c>
      <c r="F96" s="2" t="n">
        <v>4.309972601E9</v>
      </c>
      <c r="G96" s="2" t="inlineStr">
        <is>
          <t/>
        </is>
      </c>
      <c r="H96" s="3" t="inlineStr">
        <is>
          <t>自行车车轮
Колесо для велосипеда</t>
        </is>
      </c>
      <c r="I96" s="3" t="inlineStr">
        <is>
          <t>跨境卖家可售</t>
        </is>
      </c>
      <c r="J96" s="2" t="inlineStr">
        <is>
          <t>38797₽</t>
        </is>
      </c>
      <c r="K96" s="2" t="n">
        <v>11.0</v>
      </c>
      <c r="L96" s="2" t="inlineStr">
        <is>
          <t>421938₽</t>
        </is>
      </c>
      <c r="M96" s="2" t="inlineStr">
        <is>
          <t>100%</t>
        </is>
      </c>
      <c r="N96" s="2" t="inlineStr">
        <is>
          <t>100%</t>
        </is>
      </c>
      <c r="O96" s="2" t="inlineStr">
        <is>
          <t>49.5%</t>
        </is>
      </c>
      <c r="P96" s="2" t="n">
        <v>2113.0</v>
      </c>
      <c r="Q96" s="2" t="n">
        <v>542.0</v>
      </c>
      <c r="R96" s="2" t="n">
        <v>687.0</v>
      </c>
      <c r="S96" s="2" t="inlineStr">
        <is>
          <t>2.47%</t>
        </is>
      </c>
      <c r="T96" s="2" t="inlineStr">
        <is>
          <t>64.7%</t>
        </is>
      </c>
      <c r="U96" s="2" t="inlineStr">
        <is>
          <t>0.0%</t>
        </is>
      </c>
      <c r="V96" s="2"/>
      <c r="W96" s="2" t="inlineStr">
        <is>
          <t>0₽</t>
        </is>
      </c>
      <c r="X96" s="2" t="n">
        <v>1.0</v>
      </c>
      <c r="Y96" s="2"/>
      <c r="Z96" s="2"/>
      <c r="AA96" s="3" t="inlineStr">
        <is>
          <t>2026-05-15
1 个月</t>
        </is>
      </c>
      <c r="AB96" s="2" t="inlineStr">
        <is>
          <t>2800 g</t>
        </is>
      </c>
      <c r="AC96" s="2" t="inlineStr">
        <is>
          <t>19.36 L</t>
        </is>
      </c>
      <c r="AD96" s="2" t="inlineStr">
        <is>
          <t>Columbi</t>
        </is>
      </c>
      <c r="AE96" s="2" t="inlineStr">
        <is>
          <t>跨境卖家</t>
        </is>
      </c>
      <c r="AF96" s="2" t="inlineStr">
        <is>
          <t>RFBS</t>
        </is>
      </c>
      <c r="AG96" s="2" t="n">
        <v>2.0</v>
      </c>
    </row>
    <row r="97" customHeight="true" ht="64.0">
      <c r="A97" s="2" t="n">
        <v>96.0</v>
      </c>
      <c r="B97" s="2" t="inlineStr">
        <is>
          <t>https://ir.ozone.ru/s3/multimedia-1-p/wc300/10972816369.jpg</t>
        </is>
      </c>
      <c r="C97" s="2" t="n">
        <f>IF(ISERROR(IMAGE("https://ir.ozone.ru/s3/multimedia-1-p/wc300/10972816369.jpg")),"请使用新版Excel2024查看图片",IMAGE("https://ir.ozone.ru/s3/multimedia-1-p/wc300/10972816369.jpg"))</f>
        <v>0.0</v>
      </c>
      <c r="D97" s="2" t="inlineStr">
        <is>
          <t>Сумка с ручками, пляжная</t>
        </is>
      </c>
      <c r="E97" s="2" t="inlineStr">
        <is>
          <t>https://www.ozon.ru/product/4362974814</t>
        </is>
      </c>
      <c r="F97" s="2" t="n">
        <v>4.362974814E9</v>
      </c>
      <c r="G97" s="2" t="inlineStr">
        <is>
          <t/>
        </is>
      </c>
      <c r="H97" s="3" t="inlineStr">
        <is>
          <t>包/袋
Сумка</t>
        </is>
      </c>
      <c r="I97" s="3" t="inlineStr">
        <is>
          <t>跨境卖家可售</t>
        </is>
      </c>
      <c r="J97" s="2" t="inlineStr">
        <is>
          <t>684₽</t>
        </is>
      </c>
      <c r="K97" s="2" t="n">
        <v>612.0</v>
      </c>
      <c r="L97" s="2" t="inlineStr">
        <is>
          <t>418608₽</t>
        </is>
      </c>
      <c r="M97" s="2" t="inlineStr">
        <is>
          <t>100%</t>
        </is>
      </c>
      <c r="N97" s="2" t="inlineStr">
        <is>
          <t>100%</t>
        </is>
      </c>
      <c r="O97" s="2" t="inlineStr">
        <is>
          <t>54.9%</t>
        </is>
      </c>
      <c r="P97" s="2" t="n">
        <v>66678.0</v>
      </c>
      <c r="Q97" s="2" t="n">
        <v>12191.0</v>
      </c>
      <c r="R97" s="2" t="n">
        <v>9631.0</v>
      </c>
      <c r="S97" s="2" t="inlineStr">
        <is>
          <t>17.01%</t>
        </is>
      </c>
      <c r="T97" s="2" t="inlineStr">
        <is>
          <t>37.4%</t>
        </is>
      </c>
      <c r="U97" s="2" t="inlineStr">
        <is>
          <t>0.58%</t>
        </is>
      </c>
      <c r="V97" s="2"/>
      <c r="W97" s="2" t="inlineStr">
        <is>
          <t>0₽</t>
        </is>
      </c>
      <c r="X97" s="2" t="n">
        <v>1.0</v>
      </c>
      <c r="Y97" s="2"/>
      <c r="Z97" s="2"/>
      <c r="AA97" s="3" t="inlineStr">
        <is>
          <t>2026-05-19
&lt; 1 个月</t>
        </is>
      </c>
      <c r="AB97" s="2" t="inlineStr">
        <is>
          <t>250 g</t>
        </is>
      </c>
      <c r="AC97" s="2" t="inlineStr">
        <is>
          <t>3.42 L</t>
        </is>
      </c>
      <c r="AD97" s="2" t="inlineStr">
        <is>
          <t>Xiamen Moxin Ercheng Trading Co., Ltd.</t>
        </is>
      </c>
      <c r="AE97" s="2" t="inlineStr">
        <is>
          <t>跨境卖家</t>
        </is>
      </c>
      <c r="AF97" s="2" t="inlineStr">
        <is>
          <t>RFBS</t>
        </is>
      </c>
      <c r="AG97" s="2" t="n">
        <v>0.0</v>
      </c>
    </row>
    <row r="98" customHeight="true" ht="64.0">
      <c r="A98" s="2" t="n">
        <v>97.0</v>
      </c>
      <c r="B98" s="2" t="inlineStr">
        <is>
          <t>https://ir.ozone.ru/s3/multimedia-1-e/wc300/10610688614.jpg</t>
        </is>
      </c>
      <c r="C98" s="2" t="n">
        <f>IF(ISERROR(IMAGE("https://ir.ozone.ru/s3/multimedia-1-e/wc300/10610688614.jpg")),"请使用新版Excel2024查看图片",IMAGE("https://ir.ozone.ru/s3/multimedia-1-e/wc300/10610688614.jpg"))</f>
        <v>0.0</v>
      </c>
      <c r="D98" s="2" t="inlineStr">
        <is>
          <t>Sony Смартфон Xperia 1 VIII XQ-GE74 Mark 8 Глобальная версия Global 12/256 ГБ, Nano-SIM, eSIM, черный матовый</t>
        </is>
      </c>
      <c r="E98" s="2" t="inlineStr">
        <is>
          <t>https://www.ozon.ru/product/4321873215</t>
        </is>
      </c>
      <c r="F98" s="2" t="n">
        <v>4.321873215E9</v>
      </c>
      <c r="G98" s="2" t="inlineStr">
        <is>
          <t>Sony</t>
        </is>
      </c>
      <c r="H98" s="3" t="inlineStr">
        <is>
          <t>智能手机
Смартфон</t>
        </is>
      </c>
      <c r="I98" s="3" t="inlineStr">
        <is>
          <t>跨境卖家可售</t>
        </is>
      </c>
      <c r="J98" s="2" t="inlineStr">
        <is>
          <t>104179₽</t>
        </is>
      </c>
      <c r="K98" s="2" t="n">
        <v>4.0</v>
      </c>
      <c r="L98" s="2" t="inlineStr">
        <is>
          <t>416716₽</t>
        </is>
      </c>
      <c r="M98" s="2" t="inlineStr">
        <is>
          <t>100%</t>
        </is>
      </c>
      <c r="N98" s="2" t="inlineStr">
        <is>
          <t>100%</t>
        </is>
      </c>
      <c r="O98" s="2" t="inlineStr">
        <is>
          <t>57.3%</t>
        </is>
      </c>
      <c r="P98" s="2" t="n">
        <v>40644.0</v>
      </c>
      <c r="Q98" s="2" t="n">
        <v>9639.0</v>
      </c>
      <c r="R98" s="2" t="n">
        <v>7670.0</v>
      </c>
      <c r="S98" s="2" t="inlineStr">
        <is>
          <t>1.7%</t>
        </is>
      </c>
      <c r="T98" s="2" t="inlineStr">
        <is>
          <t>3.1%</t>
        </is>
      </c>
      <c r="U98" s="2" t="inlineStr">
        <is>
          <t>2.65%</t>
        </is>
      </c>
      <c r="V98" s="2"/>
      <c r="W98" s="2" t="inlineStr">
        <is>
          <t>0₽</t>
        </is>
      </c>
      <c r="X98" s="2" t="n">
        <v>7.0</v>
      </c>
      <c r="Y98" s="2"/>
      <c r="Z98" s="2"/>
      <c r="AA98" s="3" t="inlineStr">
        <is>
          <t>2026-05-15
1 个月</t>
        </is>
      </c>
      <c r="AB98" s="2" t="inlineStr">
        <is>
          <t>500 g</t>
        </is>
      </c>
      <c r="AC98" s="2" t="inlineStr">
        <is>
          <t>3.234 L</t>
        </is>
      </c>
      <c r="AD98" s="2" t="inlineStr">
        <is>
          <t>Новая береза</t>
        </is>
      </c>
      <c r="AE98" s="2" t="inlineStr">
        <is>
          <t>跨境卖家</t>
        </is>
      </c>
      <c r="AF98" s="2" t="inlineStr">
        <is>
          <t>RFBS</t>
        </is>
      </c>
      <c r="AG98" s="2" t="n">
        <v>22.0</v>
      </c>
    </row>
    <row r="99" customHeight="true" ht="64.0">
      <c r="A99" s="2" t="n">
        <v>98.0</v>
      </c>
      <c r="B99" s="2" t="inlineStr">
        <is>
          <t>https://ir.ozone.ru/s3/multimedia-1-u/wc300/10842243654.jpg</t>
        </is>
      </c>
      <c r="C99" s="2" t="n">
        <f>IF(ISERROR(IMAGE("https://ir.ozone.ru/s3/multimedia-1-u/wc300/10842243654.jpg")),"请使用新版Excel2024查看图片",IMAGE("https://ir.ozone.ru/s3/multimedia-1-u/wc300/10842243654.jpg"))</f>
        <v>0.0</v>
      </c>
      <c r="D99" s="2" t="inlineStr">
        <is>
          <t>Смартфон Honor Magic V6  16/</t>
        </is>
      </c>
      <c r="E99" s="2" t="inlineStr">
        <is>
          <t>https://www.ozon.ru/product/4459281808</t>
        </is>
      </c>
      <c r="F99" s="2" t="n">
        <v>4.459281808E9</v>
      </c>
      <c r="G99" s="2" t="inlineStr">
        <is>
          <t/>
        </is>
      </c>
      <c r="H99" s="3" t="inlineStr">
        <is>
          <t>智能手机
Смартфон</t>
        </is>
      </c>
      <c r="I99" s="3" t="inlineStr">
        <is>
          <t>跨境卖家可售</t>
        </is>
      </c>
      <c r="J99" s="2" t="inlineStr">
        <is>
          <t>103277₽</t>
        </is>
      </c>
      <c r="K99" s="2" t="n">
        <v>4.0</v>
      </c>
      <c r="L99" s="2" t="inlineStr">
        <is>
          <t>413108₽</t>
        </is>
      </c>
      <c r="M99" s="2" t="inlineStr">
        <is>
          <t>100%</t>
        </is>
      </c>
      <c r="N99" s="2" t="inlineStr">
        <is>
          <t>100%</t>
        </is>
      </c>
      <c r="O99" s="2" t="inlineStr">
        <is>
          <t>57.3%</t>
        </is>
      </c>
      <c r="P99" s="2" t="n">
        <v>7862.0</v>
      </c>
      <c r="Q99" s="2" t="n">
        <v>2669.0</v>
      </c>
      <c r="R99" s="2" t="n">
        <v>1108.0</v>
      </c>
      <c r="S99" s="2" t="inlineStr">
        <is>
          <t>6.22%</t>
        </is>
      </c>
      <c r="T99" s="2" t="inlineStr">
        <is>
          <t>5.8%</t>
        </is>
      </c>
      <c r="U99" s="2" t="inlineStr">
        <is>
          <t>0.49%</t>
        </is>
      </c>
      <c r="V99" s="2"/>
      <c r="W99" s="2" t="inlineStr">
        <is>
          <t>0₽</t>
        </is>
      </c>
      <c r="X99" s="2" t="n">
        <v>1.0</v>
      </c>
      <c r="Y99" s="2"/>
      <c r="Z99" s="2"/>
      <c r="AA99" s="3" t="inlineStr">
        <is>
          <t>2026-05-27
&lt; 1 个月</t>
        </is>
      </c>
      <c r="AB99" s="2" t="inlineStr">
        <is>
          <t>840 g</t>
        </is>
      </c>
      <c r="AC99" s="2" t="inlineStr">
        <is>
          <t>1.28 L</t>
        </is>
      </c>
      <c r="AD99" s="2" t="inlineStr">
        <is>
          <t>ЦифроГрад</t>
        </is>
      </c>
      <c r="AE99" s="2" t="inlineStr">
        <is>
          <t>跨境卖家</t>
        </is>
      </c>
      <c r="AF99" s="2" t="inlineStr">
        <is>
          <t>RFBS</t>
        </is>
      </c>
      <c r="AG99" s="2" t="n">
        <v>0.0</v>
      </c>
    </row>
    <row r="100" customHeight="true" ht="64.0">
      <c r="A100" s="2" t="n">
        <v>99.0</v>
      </c>
      <c r="B100" s="2" t="inlineStr">
        <is>
          <t>https://ir.ozone.ru/s3/multimedia-1-5/wc300/10642833905.jpg</t>
        </is>
      </c>
      <c r="C100" s="2" t="n">
        <f>IF(ISERROR(IMAGE("https://ir.ozone.ru/s3/multimedia-1-5/wc300/10642833905.jpg")),"请使用新版Excel2024查看图片",IMAGE("https://ir.ozone.ru/s3/multimedia-1-5/wc300/10642833905.jpg"))</f>
        <v>0.0</v>
      </c>
      <c r="D100" s="2" t="inlineStr">
        <is>
          <t>SevenTitans Подвижная фигурка JOYTOY Warhammer 30K BLOOD ANGELS SANGUINIUS PRIMARCH OF THE IXTH LEGION COLLECTOR'S EDITION 1/18 nодаpок коллекция игрушек</t>
        </is>
      </c>
      <c r="E100" s="2" t="inlineStr">
        <is>
          <t>https://www.ozon.ru/product/4382494223</t>
        </is>
      </c>
      <c r="F100" s="2" t="n">
        <v>4.382494223E9</v>
      </c>
      <c r="G100" s="2" t="inlineStr">
        <is>
          <t>JOYTOY</t>
        </is>
      </c>
      <c r="H100" s="3" t="inlineStr">
        <is>
          <t>小雕塑
Фигурка</t>
        </is>
      </c>
      <c r="I100" s="3" t="inlineStr">
        <is>
          <t>跨境卖家可售</t>
        </is>
      </c>
      <c r="J100" s="2" t="inlineStr">
        <is>
          <t>10773₽</t>
        </is>
      </c>
      <c r="K100" s="2" t="n">
        <v>38.0</v>
      </c>
      <c r="L100" s="2" t="inlineStr">
        <is>
          <t>412804₽</t>
        </is>
      </c>
      <c r="M100" s="2" t="inlineStr">
        <is>
          <t>100%</t>
        </is>
      </c>
      <c r="N100" s="2" t="inlineStr">
        <is>
          <t>100%</t>
        </is>
      </c>
      <c r="O100" s="2" t="inlineStr">
        <is>
          <t>47.1%</t>
        </is>
      </c>
      <c r="P100" s="2" t="n">
        <v>15185.0</v>
      </c>
      <c r="Q100" s="2" t="n">
        <v>1322.0</v>
      </c>
      <c r="R100" s="2" t="n">
        <v>2440.0</v>
      </c>
      <c r="S100" s="2" t="inlineStr">
        <is>
          <t>3.56%</t>
        </is>
      </c>
      <c r="T100" s="2" t="inlineStr">
        <is>
          <t>43.7%</t>
        </is>
      </c>
      <c r="U100" s="2" t="inlineStr">
        <is>
          <t>3.01%</t>
        </is>
      </c>
      <c r="V100" s="2"/>
      <c r="W100" s="2" t="inlineStr">
        <is>
          <t>0₽</t>
        </is>
      </c>
      <c r="X100" s="2" t="n">
        <v>2.0</v>
      </c>
      <c r="Y100" s="2" t="n">
        <v>4.0</v>
      </c>
      <c r="Z100" s="2" t="inlineStr">
        <is>
          <t>5.0</t>
        </is>
      </c>
      <c r="AA100" s="3" t="inlineStr">
        <is>
          <t>2026-05-20
&lt; 1 个月</t>
        </is>
      </c>
      <c r="AB100" s="2" t="inlineStr">
        <is>
          <t>1400 g</t>
        </is>
      </c>
      <c r="AC100" s="2" t="inlineStr">
        <is>
          <t>9.984 L</t>
        </is>
      </c>
      <c r="AD100" s="2" t="inlineStr">
        <is>
          <t>Seven Titans</t>
        </is>
      </c>
      <c r="AE100" s="2" t="inlineStr">
        <is>
          <t>跨境卖家</t>
        </is>
      </c>
      <c r="AF100" s="2" t="inlineStr">
        <is>
          <t>RFBS</t>
        </is>
      </c>
      <c r="AG100" s="2" t="n">
        <v>2.0</v>
      </c>
    </row>
    <row r="101" customHeight="true" ht="64.0">
      <c r="A101" s="2" t="n">
        <v>100.0</v>
      </c>
      <c r="B101" s="2" t="inlineStr">
        <is>
          <t>https://ir.ozone.ru/s3/multimedia-1-f/wc300/10447827351.jpg</t>
        </is>
      </c>
      <c r="C101" s="2" t="n">
        <f>IF(ISERROR(IMAGE("https://ir.ozone.ru/s3/multimedia-1-f/wc300/10447827351.jpg")),"请使用新版Excel2024查看图片",IMAGE("https://ir.ozone.ru/s3/multimedia-1-f/wc300/10447827351.jpg"))</f>
        <v>0.0</v>
      </c>
      <c r="D101" s="2" t="inlineStr">
        <is>
          <t>Купальник раздельный</t>
        </is>
      </c>
      <c r="E101" s="2" t="inlineStr">
        <is>
          <t>https://www.ozon.ru/product/4321348363</t>
        </is>
      </c>
      <c r="F101" s="2" t="n">
        <v>4.321348363E9</v>
      </c>
      <c r="G101" s="2" t="inlineStr">
        <is>
          <t/>
        </is>
      </c>
      <c r="H101" s="3" t="inlineStr">
        <is>
          <t>泳衣
Купальник</t>
        </is>
      </c>
      <c r="I101" s="3" t="inlineStr">
        <is>
          <t>跨境卖家可售</t>
        </is>
      </c>
      <c r="J101" s="2" t="inlineStr">
        <is>
          <t>554₽</t>
        </is>
      </c>
      <c r="K101" s="2" t="n">
        <v>689.0</v>
      </c>
      <c r="L101" s="2" t="inlineStr">
        <is>
          <t>408364₽</t>
        </is>
      </c>
      <c r="M101" s="2" t="inlineStr">
        <is>
          <t>100%</t>
        </is>
      </c>
      <c r="N101" s="2" t="inlineStr">
        <is>
          <t>100%</t>
        </is>
      </c>
      <c r="O101" s="2" t="inlineStr">
        <is>
          <t>54.4%</t>
        </is>
      </c>
      <c r="P101" s="2" t="n">
        <v>62523.0</v>
      </c>
      <c r="Q101" s="2" t="n">
        <v>305.0</v>
      </c>
      <c r="R101" s="2" t="n">
        <v>16316.0</v>
      </c>
      <c r="S101" s="2" t="inlineStr">
        <is>
          <t>30.97%</t>
        </is>
      </c>
      <c r="T101" s="2" t="inlineStr">
        <is>
          <t>13.9%</t>
        </is>
      </c>
      <c r="U101" s="2" t="inlineStr">
        <is>
          <t>0.0%</t>
        </is>
      </c>
      <c r="V101" s="2"/>
      <c r="W101" s="2" t="inlineStr">
        <is>
          <t>0₽</t>
        </is>
      </c>
      <c r="X101" s="2" t="n">
        <v>24.0</v>
      </c>
      <c r="Y101" s="2" t="n">
        <v>1162.0</v>
      </c>
      <c r="Z101" s="2" t="inlineStr">
        <is>
          <t>4.9</t>
        </is>
      </c>
      <c r="AA101" s="3" t="inlineStr">
        <is>
          <t>2026-05-15
1 个月</t>
        </is>
      </c>
      <c r="AB101" s="2" t="inlineStr">
        <is>
          <t>200 g</t>
        </is>
      </c>
      <c r="AC101" s="2" t="inlineStr">
        <is>
          <t>4.214 L</t>
        </is>
      </c>
      <c r="AD101" s="2" t="inlineStr">
        <is>
          <t>Китайская звезда</t>
        </is>
      </c>
      <c r="AE101" s="2" t="inlineStr">
        <is>
          <t>跨境卖家</t>
        </is>
      </c>
      <c r="AF101" s="2" t="inlineStr">
        <is>
          <t>RFBS</t>
        </is>
      </c>
      <c r="AG101" s="2" t="n">
        <v>20.0</v>
      </c>
    </row>
    <row r="102" customHeight="true" ht="64.0">
      <c r="A102" s="2" t="n">
        <v>101.0</v>
      </c>
      <c r="B102" s="2" t="inlineStr">
        <is>
          <t>https://ir.ozone.ru/s3/multimedia-1-w/wc300/8331691028.jpg</t>
        </is>
      </c>
      <c r="C102" s="2" t="n">
        <f>IF(ISERROR(IMAGE("https://ir.ozone.ru/s3/multimedia-1-w/wc300/8331691028.jpg")),"请使用新版Excel2024查看图片",IMAGE("https://ir.ozone.ru/s3/multimedia-1-w/wc300/8331691028.jpg"))</f>
        <v>0.0</v>
      </c>
      <c r="D102" s="2" t="inlineStr">
        <is>
          <t>Шуба натуральная Халат</t>
        </is>
      </c>
      <c r="E102" s="2" t="inlineStr">
        <is>
          <t>https://www.ozon.ru/product/4447279806</t>
        </is>
      </c>
      <c r="F102" s="2" t="n">
        <v>4.447279806E9</v>
      </c>
      <c r="G102" s="2" t="inlineStr">
        <is>
          <t/>
        </is>
      </c>
      <c r="H102" s="3" t="inlineStr">
        <is>
          <t>天然皮草大衣
Шуба натуральная</t>
        </is>
      </c>
      <c r="I102" s="3" t="inlineStr">
        <is>
          <t>跨境卖家可售</t>
        </is>
      </c>
      <c r="J102" s="2" t="inlineStr">
        <is>
          <t>203632₽</t>
        </is>
      </c>
      <c r="K102" s="2" t="n">
        <v>2.0</v>
      </c>
      <c r="L102" s="2" t="inlineStr">
        <is>
          <t>407264₽</t>
        </is>
      </c>
      <c r="M102" s="2" t="inlineStr">
        <is>
          <t>100%</t>
        </is>
      </c>
      <c r="N102" s="2" t="inlineStr">
        <is>
          <t>100%</t>
        </is>
      </c>
      <c r="O102" s="2" t="inlineStr">
        <is>
          <t/>
        </is>
      </c>
      <c r="P102" s="2" t="n">
        <v>54.0</v>
      </c>
      <c r="Q102" s="2" t="n">
        <v>13.0</v>
      </c>
      <c r="R102" s="2" t="n">
        <v>22.0</v>
      </c>
      <c r="S102" s="2" t="inlineStr">
        <is>
          <t>4.54%</t>
        </is>
      </c>
      <c r="T102" s="2" t="inlineStr">
        <is>
          <t>200.0%</t>
        </is>
      </c>
      <c r="U102" s="2" t="inlineStr">
        <is>
          <t>0.0%</t>
        </is>
      </c>
      <c r="V102" s="2"/>
      <c r="W102" s="2" t="inlineStr">
        <is>
          <t>0₽</t>
        </is>
      </c>
      <c r="X102" s="2" t="n">
        <v>1.0</v>
      </c>
      <c r="Y102" s="2"/>
      <c r="Z102" s="2"/>
      <c r="AA102" s="3" t="inlineStr">
        <is>
          <t>2026-05-26
&lt; 1 个月</t>
        </is>
      </c>
      <c r="AB102" s="2" t="inlineStr">
        <is>
          <t/>
        </is>
      </c>
      <c r="AC102" s="2" t="inlineStr">
        <is>
          <t/>
        </is>
      </c>
      <c r="AD102" s="2" t="inlineStr">
        <is>
          <t>lijiachen</t>
        </is>
      </c>
      <c r="AE102" s="2" t="inlineStr">
        <is>
          <t>跨境卖家</t>
        </is>
      </c>
      <c r="AF102" s="2" t="inlineStr">
        <is>
          <t>RFBS</t>
        </is>
      </c>
      <c r="AG102" s="2" t="n">
        <v>0.0</v>
      </c>
    </row>
    <row r="103" customHeight="true" ht="64.0">
      <c r="A103" s="2" t="n">
        <v>102.0</v>
      </c>
      <c r="B103" s="2" t="inlineStr">
        <is>
          <t>https://ir.ozone.ru/s3/multimedia-1-r/wc300/8877945015.jpg</t>
        </is>
      </c>
      <c r="C103" s="2" t="n">
        <f>IF(ISERROR(IMAGE("https://ir.ozone.ru/s3/multimedia-1-r/wc300/8877945015.jpg")),"请使用新版Excel2024查看图片",IMAGE("https://ir.ozone.ru/s3/multimedia-1-r/wc300/8877945015.jpg"))</f>
        <v>0.0</v>
      </c>
      <c r="D103" s="2" t="inlineStr">
        <is>
          <t>Шуба натуральная Кимоно</t>
        </is>
      </c>
      <c r="E103" s="2" t="inlineStr">
        <is>
          <t>https://www.ozon.ru/product/4448886893</t>
        </is>
      </c>
      <c r="F103" s="2" t="n">
        <v>4.448886893E9</v>
      </c>
      <c r="G103" s="2" t="inlineStr">
        <is>
          <t/>
        </is>
      </c>
      <c r="H103" s="3" t="inlineStr">
        <is>
          <t>天然皮草大衣
Шуба натуральная</t>
        </is>
      </c>
      <c r="I103" s="3" t="inlineStr">
        <is>
          <t>跨境卖家可售</t>
        </is>
      </c>
      <c r="J103" s="2" t="inlineStr">
        <is>
          <t>203632₽</t>
        </is>
      </c>
      <c r="K103" s="2" t="n">
        <v>2.0</v>
      </c>
      <c r="L103" s="2" t="inlineStr">
        <is>
          <t>407264₽</t>
        </is>
      </c>
      <c r="M103" s="2" t="inlineStr">
        <is>
          <t>100%</t>
        </is>
      </c>
      <c r="N103" s="2" t="inlineStr">
        <is>
          <t>100%</t>
        </is>
      </c>
      <c r="O103" s="2" t="inlineStr">
        <is>
          <t/>
        </is>
      </c>
      <c r="P103" s="2" t="n">
        <v>31.0</v>
      </c>
      <c r="Q103" s="2" t="n">
        <v>9.0</v>
      </c>
      <c r="R103" s="2" t="n">
        <v>12.0</v>
      </c>
      <c r="S103" s="2" t="inlineStr">
        <is>
          <t>8.33%</t>
        </is>
      </c>
      <c r="T103" s="2" t="inlineStr">
        <is>
          <t>200.0%</t>
        </is>
      </c>
      <c r="U103" s="2" t="inlineStr">
        <is>
          <t>0.0%</t>
        </is>
      </c>
      <c r="V103" s="2"/>
      <c r="W103" s="2" t="inlineStr">
        <is>
          <t>0₽</t>
        </is>
      </c>
      <c r="X103" s="2" t="n">
        <v>1.0</v>
      </c>
      <c r="Y103" s="2"/>
      <c r="Z103" s="2"/>
      <c r="AA103" s="3" t="inlineStr">
        <is>
          <t>2026-05-26
&lt; 1 个月</t>
        </is>
      </c>
      <c r="AB103" s="2" t="inlineStr">
        <is>
          <t/>
        </is>
      </c>
      <c r="AC103" s="2" t="inlineStr">
        <is>
          <t/>
        </is>
      </c>
      <c r="AD103" s="2" t="inlineStr">
        <is>
          <t>liuliping</t>
        </is>
      </c>
      <c r="AE103" s="2" t="inlineStr">
        <is>
          <t>跨境卖家</t>
        </is>
      </c>
      <c r="AF103" s="2" t="inlineStr">
        <is>
          <t>RFBS</t>
        </is>
      </c>
      <c r="AG103" s="2" t="n">
        <v>0.0</v>
      </c>
    </row>
    <row r="104" customHeight="true" ht="64.0">
      <c r="A104" s="2" t="n">
        <v>103.0</v>
      </c>
      <c r="B104" s="2" t="inlineStr">
        <is>
          <t>https://ir.ozone.ru/s3/multimedia-1-l/wc300/11156829429.jpg</t>
        </is>
      </c>
      <c r="C104" s="2" t="n">
        <f>IF(ISERROR(IMAGE("https://ir.ozone.ru/s3/multimedia-1-l/wc300/11156829429.jpg")),"请使用新版Excel2024查看图片",IMAGE("https://ir.ozone.ru/s3/multimedia-1-l/wc300/11156829429.jpg"))</f>
        <v>0.0</v>
      </c>
      <c r="D104" s="2" t="inlineStr">
        <is>
          <t>TWITTER BIKE Велосипед Шоссейный, G2max（RS-12s）</t>
        </is>
      </c>
      <c r="E104" s="2" t="inlineStr">
        <is>
          <t>https://www.ozon.ru/product/4580147860</t>
        </is>
      </c>
      <c r="F104" s="2" t="n">
        <v>4.58014786E9</v>
      </c>
      <c r="G104" s="2" t="inlineStr">
        <is>
          <t/>
        </is>
      </c>
      <c r="H104" s="3" t="inlineStr">
        <is>
          <t>自行车
Велосипед</t>
        </is>
      </c>
      <c r="I104" s="3" t="inlineStr">
        <is>
          <t>跨境卖家可售</t>
        </is>
      </c>
      <c r="J104" s="2" t="inlineStr">
        <is>
          <t>40658₽</t>
        </is>
      </c>
      <c r="K104" s="2" t="n">
        <v>10.0</v>
      </c>
      <c r="L104" s="2" t="inlineStr">
        <is>
          <t>406580₽</t>
        </is>
      </c>
      <c r="M104" s="2" t="inlineStr">
        <is>
          <t>100%</t>
        </is>
      </c>
      <c r="N104" s="2" t="inlineStr">
        <is>
          <t>100%</t>
        </is>
      </c>
      <c r="O104" s="2" t="inlineStr">
        <is>
          <t/>
        </is>
      </c>
      <c r="P104" s="2" t="n">
        <v>3795.0</v>
      </c>
      <c r="Q104" s="2" t="n">
        <v>152.0</v>
      </c>
      <c r="R104" s="2" t="n">
        <v>1220.0</v>
      </c>
      <c r="S104" s="2" t="inlineStr">
        <is>
          <t>5.0%</t>
        </is>
      </c>
      <c r="T104" s="2" t="inlineStr">
        <is>
          <t>16.4%</t>
        </is>
      </c>
      <c r="U104" s="2" t="inlineStr">
        <is>
          <t>0.0%</t>
        </is>
      </c>
      <c r="V104" s="2"/>
      <c r="W104" s="2" t="inlineStr">
        <is>
          <t>0₽</t>
        </is>
      </c>
      <c r="X104" s="2" t="n">
        <v>1.0</v>
      </c>
      <c r="Y104" s="2"/>
      <c r="Z104" s="2"/>
      <c r="AA104" s="3" t="inlineStr">
        <is>
          <t>2026-06-04
&lt; 1 个月</t>
        </is>
      </c>
      <c r="AB104" s="2" t="inlineStr">
        <is>
          <t/>
        </is>
      </c>
      <c r="AC104" s="2" t="inlineStr">
        <is>
          <t/>
        </is>
      </c>
      <c r="AD104" s="2" t="inlineStr">
        <is>
          <t>CYCTRAC Official Store</t>
        </is>
      </c>
      <c r="AE104" s="2" t="inlineStr">
        <is>
          <t>跨境卖家</t>
        </is>
      </c>
      <c r="AF104" s="2" t="inlineStr">
        <is>
          <t>RFBS</t>
        </is>
      </c>
      <c r="AG104" s="2" t="n">
        <v>0.0</v>
      </c>
    </row>
    <row r="105" customHeight="true" ht="64.0">
      <c r="A105" s="2" t="n">
        <v>104.0</v>
      </c>
      <c r="B105" s="2" t="inlineStr">
        <is>
          <t>https://ir.ozone.ru/s3/multimedia-1-q/wc300/10775488706.jpg</t>
        </is>
      </c>
      <c r="C105" s="2" t="n">
        <f>IF(ISERROR(IMAGE("https://ir.ozone.ru/s3/multimedia-1-q/wc300/10775488706.jpg")),"请使用新版Excel2024查看图片",IMAGE("https://ir.ozone.ru/s3/multimedia-1-q/wc300/10775488706.jpg"))</f>
        <v>0.0</v>
      </c>
      <c r="D105" s="2" t="inlineStr">
        <is>
          <t>Радиоуправляемая гусеничная газонокосилка бензиновая для травы и кустарника, мощная самоходная косилка для дачи и сложного рельефа</t>
        </is>
      </c>
      <c r="E105" s="2" t="inlineStr">
        <is>
          <t>https://www.ozon.ru/product/4433165073</t>
        </is>
      </c>
      <c r="F105" s="2" t="n">
        <v>4.433165073E9</v>
      </c>
      <c r="G105" s="2" t="inlineStr">
        <is>
          <t/>
        </is>
      </c>
      <c r="H105" s="3" t="inlineStr">
        <is>
          <t>割草机
Газонокосилка</t>
        </is>
      </c>
      <c r="I105" s="3" t="inlineStr">
        <is>
          <t>跨境卖家可售</t>
        </is>
      </c>
      <c r="J105" s="2" t="inlineStr">
        <is>
          <t>45114₽</t>
        </is>
      </c>
      <c r="K105" s="2" t="n">
        <v>9.0</v>
      </c>
      <c r="L105" s="2" t="inlineStr">
        <is>
          <t>406026₽</t>
        </is>
      </c>
      <c r="M105" s="2" t="inlineStr">
        <is>
          <t>100%</t>
        </is>
      </c>
      <c r="N105" s="2" t="inlineStr">
        <is>
          <t>100%</t>
        </is>
      </c>
      <c r="O105" s="2" t="inlineStr">
        <is>
          <t>52.6%</t>
        </is>
      </c>
      <c r="P105" s="2" t="n">
        <v>8962.0</v>
      </c>
      <c r="Q105" s="2" t="n">
        <v>2625.0</v>
      </c>
      <c r="R105" s="2" t="n">
        <v>3382.0</v>
      </c>
      <c r="S105" s="2" t="inlineStr">
        <is>
          <t>6.71%</t>
        </is>
      </c>
      <c r="T105" s="2" t="inlineStr">
        <is>
          <t>4.0%</t>
        </is>
      </c>
      <c r="U105" s="2" t="inlineStr">
        <is>
          <t>0.0%</t>
        </is>
      </c>
      <c r="V105" s="2"/>
      <c r="W105" s="2" t="inlineStr">
        <is>
          <t>0₽</t>
        </is>
      </c>
      <c r="X105" s="2" t="n">
        <v>1.0</v>
      </c>
      <c r="Y105" s="2"/>
      <c r="Z105" s="2"/>
      <c r="AA105" s="3" t="inlineStr">
        <is>
          <t>2026-05-25
&lt; 1 个月</t>
        </is>
      </c>
      <c r="AB105" s="2" t="inlineStr">
        <is>
          <t>25000 g</t>
        </is>
      </c>
      <c r="AC105" s="2" t="inlineStr">
        <is>
          <t>76.23 L</t>
        </is>
      </c>
      <c r="AD105" s="2" t="inlineStr">
        <is>
          <t>Шаньдун Лайсинь Строительная Техника</t>
        </is>
      </c>
      <c r="AE105" s="2" t="inlineStr">
        <is>
          <t>跨境卖家</t>
        </is>
      </c>
      <c r="AF105" s="2" t="inlineStr">
        <is>
          <t>RFBS</t>
        </is>
      </c>
      <c r="AG105" s="2" t="n">
        <v>0.0</v>
      </c>
    </row>
    <row r="106" customHeight="true" ht="64.0">
      <c r="A106" s="2" t="n">
        <v>105.0</v>
      </c>
      <c r="B106" s="2" t="inlineStr">
        <is>
          <t>https://ir.ozone.ru/s3/multimedia-1-g/wc300/10515583132.jpg</t>
        </is>
      </c>
      <c r="C106" s="2" t="n">
        <f>IF(ISERROR(IMAGE("https://ir.ozone.ru/s3/multimedia-1-g/wc300/10515583132.jpg")),"请使用新版Excel2024查看图片",IMAGE("https://ir.ozone.ru/s3/multimedia-1-g/wc300/10515583132.jpg"))</f>
        <v>0.0</v>
      </c>
      <c r="D106" s="2" t="inlineStr">
        <is>
          <t>Велосипед Городской, Шоссейный, Dark gray</t>
        </is>
      </c>
      <c r="E106" s="2" t="inlineStr">
        <is>
          <t>https://www.ozon.ru/product/4327015677</t>
        </is>
      </c>
      <c r="F106" s="2" t="n">
        <v>4.327015677E9</v>
      </c>
      <c r="G106" s="2" t="inlineStr">
        <is>
          <t/>
        </is>
      </c>
      <c r="H106" s="3" t="inlineStr">
        <is>
          <t>自行车
Велосипед</t>
        </is>
      </c>
      <c r="I106" s="3" t="inlineStr">
        <is>
          <t>跨境卖家可售</t>
        </is>
      </c>
      <c r="J106" s="2" t="inlineStr">
        <is>
          <t>10284₽</t>
        </is>
      </c>
      <c r="K106" s="2" t="n">
        <v>39.0</v>
      </c>
      <c r="L106" s="2" t="inlineStr">
        <is>
          <t>401376₽</t>
        </is>
      </c>
      <c r="M106" s="2" t="inlineStr">
        <is>
          <t>100%</t>
        </is>
      </c>
      <c r="N106" s="2" t="inlineStr">
        <is>
          <t>100%</t>
        </is>
      </c>
      <c r="O106" s="2" t="inlineStr">
        <is>
          <t>48.1%</t>
        </is>
      </c>
      <c r="P106" s="2" t="n">
        <v>60193.0</v>
      </c>
      <c r="Q106" s="2" t="n">
        <v>26819.0</v>
      </c>
      <c r="R106" s="2" t="n">
        <v>5849.0</v>
      </c>
      <c r="S106" s="2" t="inlineStr">
        <is>
          <t>10.63%</t>
        </is>
      </c>
      <c r="T106" s="2" t="inlineStr">
        <is>
          <t>6.3%</t>
        </is>
      </c>
      <c r="U106" s="2" t="inlineStr">
        <is>
          <t>1.23%</t>
        </is>
      </c>
      <c r="V106" s="2"/>
      <c r="W106" s="2" t="inlineStr">
        <is>
          <t>0₽</t>
        </is>
      </c>
      <c r="X106" s="2" t="n">
        <v>1.0</v>
      </c>
      <c r="Y106" s="2"/>
      <c r="Z106" s="2"/>
      <c r="AA106" s="3" t="inlineStr">
        <is>
          <t>2026-05-16
&lt; 1 个月</t>
        </is>
      </c>
      <c r="AB106" s="2" t="inlineStr">
        <is>
          <t>17000 g</t>
        </is>
      </c>
      <c r="AC106" s="2" t="inlineStr">
        <is>
          <t>175.36 L</t>
        </is>
      </c>
      <c r="AD106" s="2" t="inlineStr">
        <is>
          <t>Электронный магазин Yichi</t>
        </is>
      </c>
      <c r="AE106" s="2" t="inlineStr">
        <is>
          <t>跨境卖家</t>
        </is>
      </c>
      <c r="AF106" s="2" t="inlineStr">
        <is>
          <t>RFBS</t>
        </is>
      </c>
      <c r="AG106" s="2" t="n">
        <v>9.0</v>
      </c>
    </row>
    <row r="107" customHeight="true" ht="64.0">
      <c r="A107" s="2" t="n">
        <v>106.0</v>
      </c>
      <c r="B107" s="2" t="inlineStr">
        <is>
          <t>https://ir.ozone.ru/s3/multimedia-1-q/wc300/10684412162.jpg</t>
        </is>
      </c>
      <c r="C107" s="2" t="n">
        <f>IF(ISERROR(IMAGE("https://ir.ozone.ru/s3/multimedia-1-q/wc300/10684412162.jpg")),"请使用新版Excel2024查看图片",IMAGE("https://ir.ozone.ru/s3/multimedia-1-q/wc300/10684412162.jpg"))</f>
        <v>0.0</v>
      </c>
      <c r="D107" s="2" t="inlineStr">
        <is>
          <t>Sony Смартфон Sony Xperia1 VIII 12+512GB Gold XQ-GE74 Native Gold Global 12/512 ГБ, Nano-SIM, золотой</t>
        </is>
      </c>
      <c r="E107" s="2" t="inlineStr">
        <is>
          <t>https://www.ozon.ru/product/4374771220</t>
        </is>
      </c>
      <c r="F107" s="2" t="n">
        <v>4.37477122E9</v>
      </c>
      <c r="G107" s="2" t="inlineStr">
        <is>
          <t>Sony</t>
        </is>
      </c>
      <c r="H107" s="3" t="inlineStr">
        <is>
          <t>智能手机
Смартфон</t>
        </is>
      </c>
      <c r="I107" s="3" t="inlineStr">
        <is>
          <t>跨境卖家可售</t>
        </is>
      </c>
      <c r="J107" s="2" t="inlineStr">
        <is>
          <t>100141₽</t>
        </is>
      </c>
      <c r="K107" s="2" t="n">
        <v>4.0</v>
      </c>
      <c r="L107" s="2" t="inlineStr">
        <is>
          <t>400564₽</t>
        </is>
      </c>
      <c r="M107" s="2" t="inlineStr">
        <is>
          <t>100%</t>
        </is>
      </c>
      <c r="N107" s="2" t="inlineStr">
        <is>
          <t>100%</t>
        </is>
      </c>
      <c r="O107" s="2" t="inlineStr">
        <is>
          <t>57.3%</t>
        </is>
      </c>
      <c r="P107" s="2" t="n">
        <v>22571.0</v>
      </c>
      <c r="Q107" s="2" t="n">
        <v>5907.0</v>
      </c>
      <c r="R107" s="2" t="n">
        <v>3225.0</v>
      </c>
      <c r="S107" s="2" t="inlineStr">
        <is>
          <t>1.7%</t>
        </is>
      </c>
      <c r="T107" s="2" t="inlineStr">
        <is>
          <t>7.3%</t>
        </is>
      </c>
      <c r="U107" s="2" t="inlineStr">
        <is>
          <t>1.3%</t>
        </is>
      </c>
      <c r="V107" s="2"/>
      <c r="W107" s="2" t="inlineStr">
        <is>
          <t>0₽</t>
        </is>
      </c>
      <c r="X107" s="2" t="n">
        <v>8.0</v>
      </c>
      <c r="Y107" s="2" t="n">
        <v>7.0</v>
      </c>
      <c r="Z107" s="2"/>
      <c r="AA107" s="3" t="inlineStr">
        <is>
          <t>2026-05-20
&lt; 1 个月</t>
        </is>
      </c>
      <c r="AB107" s="2" t="inlineStr">
        <is>
          <t>280 g</t>
        </is>
      </c>
      <c r="AC107" s="2" t="inlineStr">
        <is>
          <t>0.122 L</t>
        </is>
      </c>
      <c r="AD107" s="2" t="inlineStr">
        <is>
          <t>MOS Premium Store</t>
        </is>
      </c>
      <c r="AE107" s="2" t="inlineStr">
        <is>
          <t>跨境卖家</t>
        </is>
      </c>
      <c r="AF107" s="2" t="inlineStr">
        <is>
          <t>RFBS</t>
        </is>
      </c>
      <c r="AG107" s="2" t="n">
        <v>24.0</v>
      </c>
    </row>
    <row r="108" customHeight="true" ht="64.0">
      <c r="A108" s="2" t="n">
        <v>107.0</v>
      </c>
      <c r="B108" s="2" t="inlineStr">
        <is>
          <t>https://ir.ozone.ru/s3/multimedia-1-k/wc300/9988591988.jpg</t>
        </is>
      </c>
      <c r="C108" s="2" t="n">
        <f>IF(ISERROR(IMAGE("https://ir.ozone.ru/s3/multimedia-1-k/wc300/9988591988.jpg")),"请使用新版Excel2024查看图片",IMAGE("https://ir.ozone.ru/s3/multimedia-1-k/wc300/9988591988.jpg"))</f>
        <v>0.0</v>
      </c>
      <c r="D108" s="2" t="inlineStr">
        <is>
          <t>Премиум радиоуправляемая модель Air65 II Champion</t>
        </is>
      </c>
      <c r="E108" s="2" t="inlineStr">
        <is>
          <t>https://www.ozon.ru/product/4361969282</t>
        </is>
      </c>
      <c r="F108" s="2" t="n">
        <v>4.361969282E9</v>
      </c>
      <c r="G108" s="2" t="inlineStr">
        <is>
          <t/>
        </is>
      </c>
      <c r="H108" s="3" t="inlineStr">
        <is>
          <t>玩具直升机
Игрушечный вертолет</t>
        </is>
      </c>
      <c r="I108" s="3" t="inlineStr">
        <is>
          <t>跨境卖家可售</t>
        </is>
      </c>
      <c r="J108" s="2" t="inlineStr">
        <is>
          <t>7961₽</t>
        </is>
      </c>
      <c r="K108" s="2" t="n">
        <v>50.0</v>
      </c>
      <c r="L108" s="2" t="inlineStr">
        <is>
          <t>396040₽</t>
        </is>
      </c>
      <c r="M108" s="2" t="inlineStr">
        <is>
          <t>100%</t>
        </is>
      </c>
      <c r="N108" s="2" t="inlineStr">
        <is>
          <t>100%</t>
        </is>
      </c>
      <c r="O108" s="2" t="inlineStr">
        <is>
          <t>49.5%</t>
        </is>
      </c>
      <c r="P108" s="2" t="n">
        <v>5960.0</v>
      </c>
      <c r="Q108" s="2" t="n">
        <v>865.0</v>
      </c>
      <c r="R108" s="2" t="n">
        <v>1921.0</v>
      </c>
      <c r="S108" s="2" t="inlineStr">
        <is>
          <t>5.77%</t>
        </is>
      </c>
      <c r="T108" s="2" t="inlineStr">
        <is>
          <t>45.0%</t>
        </is>
      </c>
      <c r="U108" s="2" t="inlineStr">
        <is>
          <t>0.0%</t>
        </is>
      </c>
      <c r="V108" s="2"/>
      <c r="W108" s="2" t="inlineStr">
        <is>
          <t>0₽</t>
        </is>
      </c>
      <c r="X108" s="2" t="n">
        <v>1.0</v>
      </c>
      <c r="Y108" s="2"/>
      <c r="Z108" s="2"/>
      <c r="AA108" s="3" t="inlineStr">
        <is>
          <t>2026-05-19
&lt; 1 个月</t>
        </is>
      </c>
      <c r="AB108" s="2" t="inlineStr">
        <is>
          <t>200 g</t>
        </is>
      </c>
      <c r="AC108" s="2" t="inlineStr">
        <is>
          <t>1.183 L</t>
        </is>
      </c>
      <c r="AD108" s="2" t="inlineStr">
        <is>
          <t>fubaokong</t>
        </is>
      </c>
      <c r="AE108" s="2" t="inlineStr">
        <is>
          <t>跨境卖家</t>
        </is>
      </c>
      <c r="AF108" s="2" t="inlineStr">
        <is>
          <t>RFBS</t>
        </is>
      </c>
      <c r="AG108" s="2" t="n">
        <v>2.0</v>
      </c>
    </row>
    <row r="109" customHeight="true" ht="64.0">
      <c r="A109" s="2" t="n">
        <v>108.0</v>
      </c>
      <c r="B109" s="2" t="inlineStr">
        <is>
          <t>https://ir.ozone.ru/s3/multimedia-1-8/wc300/10786248332.jpg</t>
        </is>
      </c>
      <c r="C109" s="2" t="n">
        <f>IF(ISERROR(IMAGE("https://ir.ozone.ru/s3/multimedia-1-8/wc300/10786248332.jpg")),"请使用新版Excel2024查看图片",IMAGE("https://ir.ozone.ru/s3/multimedia-1-8/wc300/10786248332.jpg"))</f>
        <v>0.0</v>
      </c>
      <c r="D109" s="2" t="inlineStr">
        <is>
          <t>LEGO 11380 Icons: Шоссейный велосипед, набор кубиков 18</t>
        </is>
      </c>
      <c r="E109" s="2" t="inlineStr">
        <is>
          <t>https://www.ozon.ru/product/4436533982</t>
        </is>
      </c>
      <c r="F109" s="2" t="n">
        <v>4.436533982E9</v>
      </c>
      <c r="G109" s="2" t="inlineStr">
        <is>
          <t>LEGO</t>
        </is>
      </c>
      <c r="H109" s="3" t="inlineStr">
        <is>
          <t>积木
Конструктор</t>
        </is>
      </c>
      <c r="I109" s="3" t="inlineStr">
        <is>
          <t>跨境卖家可售</t>
        </is>
      </c>
      <c r="J109" s="2" t="inlineStr">
        <is>
          <t>10965₽</t>
        </is>
      </c>
      <c r="K109" s="2" t="n">
        <v>36.0</v>
      </c>
      <c r="L109" s="2" t="inlineStr">
        <is>
          <t>395482₽</t>
        </is>
      </c>
      <c r="M109" s="2" t="inlineStr">
        <is>
          <t>100%</t>
        </is>
      </c>
      <c r="N109" s="2" t="inlineStr">
        <is>
          <t>100%</t>
        </is>
      </c>
      <c r="O109" s="2" t="inlineStr">
        <is>
          <t>49.7%</t>
        </is>
      </c>
      <c r="P109" s="2" t="n">
        <v>4614.0</v>
      </c>
      <c r="Q109" s="2" t="n">
        <v>607.0</v>
      </c>
      <c r="R109" s="2" t="n">
        <v>860.0</v>
      </c>
      <c r="S109" s="2" t="inlineStr">
        <is>
          <t>7.67%</t>
        </is>
      </c>
      <c r="T109" s="2" t="inlineStr">
        <is>
          <t>54.5%</t>
        </is>
      </c>
      <c r="U109" s="2" t="inlineStr">
        <is>
          <t>0.02%</t>
        </is>
      </c>
      <c r="V109" s="2"/>
      <c r="W109" s="2" t="inlineStr">
        <is>
          <t>0₽</t>
        </is>
      </c>
      <c r="X109" s="2" t="n">
        <v>1.0</v>
      </c>
      <c r="Y109" s="2"/>
      <c r="Z109" s="2"/>
      <c r="AA109" s="3" t="inlineStr">
        <is>
          <t>2026-05-25
&lt; 1 个月</t>
        </is>
      </c>
      <c r="AB109" s="2" t="inlineStr">
        <is>
          <t>2450 g</t>
        </is>
      </c>
      <c r="AC109" s="2" t="inlineStr">
        <is>
          <t>18.241 L</t>
        </is>
      </c>
      <c r="AD109" s="2" t="inlineStr">
        <is>
          <t>Toys360</t>
        </is>
      </c>
      <c r="AE109" s="2" t="inlineStr">
        <is>
          <t>跨境卖家</t>
        </is>
      </c>
      <c r="AF109" s="2" t="inlineStr">
        <is>
          <t>RFBS</t>
        </is>
      </c>
      <c r="AG109" s="2" t="n">
        <v>1.0</v>
      </c>
    </row>
    <row r="110" customHeight="true" ht="64.0">
      <c r="A110" s="2" t="n">
        <v>109.0</v>
      </c>
      <c r="B110" s="2" t="inlineStr">
        <is>
          <t>https://ir.ozone.ru/s3/multimedia-1-p/wc300/10570125157.jpg</t>
        </is>
      </c>
      <c r="C110" s="2" t="n">
        <f>IF(ISERROR(IMAGE("https://ir.ozone.ru/s3/multimedia-1-p/wc300/10570125157.jpg")),"请使用新版Excel2024查看图片",IMAGE("https://ir.ozone.ru/s3/multimedia-1-p/wc300/10570125157.jpg"))</f>
        <v>0.0</v>
      </c>
      <c r="D110" s="2" t="inlineStr">
        <is>
          <t>Poco Смартфон Смартфон POCO X8 Pro Глобальная версия Смартфон Плотность 8500-Ультра 50 МП NFC 6500 мАч Гиперзаряд мощностью 100 Вт AMOLED-дисплей 1,5 К 120 Гц Global 12/512 ГБ, Nano-SIM, черно-серый</t>
        </is>
      </c>
      <c r="E110" s="2" t="inlineStr">
        <is>
          <t>https://www.ozon.ru/product/4355509526</t>
        </is>
      </c>
      <c r="F110" s="2" t="n">
        <v>4.355509526E9</v>
      </c>
      <c r="G110" s="2" t="inlineStr">
        <is>
          <t>Poco</t>
        </is>
      </c>
      <c r="H110" s="3" t="inlineStr">
        <is>
          <t>智能手机
Смартфон</t>
        </is>
      </c>
      <c r="I110" s="3" t="inlineStr">
        <is>
          <t>跨境卖家可售</t>
        </is>
      </c>
      <c r="J110" s="2" t="inlineStr">
        <is>
          <t>26214₽</t>
        </is>
      </c>
      <c r="K110" s="2" t="n">
        <v>15.0</v>
      </c>
      <c r="L110" s="2" t="inlineStr">
        <is>
          <t>394346₽</t>
        </is>
      </c>
      <c r="M110" s="2" t="inlineStr">
        <is>
          <t>100%</t>
        </is>
      </c>
      <c r="N110" s="2" t="inlineStr">
        <is>
          <t>100%</t>
        </is>
      </c>
      <c r="O110" s="2" t="inlineStr">
        <is>
          <t>56.7%</t>
        </is>
      </c>
      <c r="P110" s="2" t="n">
        <v>12638.0</v>
      </c>
      <c r="Q110" s="2" t="n">
        <v>1594.0</v>
      </c>
      <c r="R110" s="2" t="n">
        <v>2862.0</v>
      </c>
      <c r="S110" s="2" t="inlineStr">
        <is>
          <t>5.97%</t>
        </is>
      </c>
      <c r="T110" s="2" t="inlineStr">
        <is>
          <t>9.9%</t>
        </is>
      </c>
      <c r="U110" s="2" t="inlineStr">
        <is>
          <t>0.0%</t>
        </is>
      </c>
      <c r="V110" s="2"/>
      <c r="W110" s="2" t="inlineStr">
        <is>
          <t>0₽</t>
        </is>
      </c>
      <c r="X110" s="2" t="n">
        <v>14.0</v>
      </c>
      <c r="Y110" s="2" t="n">
        <v>7.0</v>
      </c>
      <c r="Z110" s="2" t="inlineStr">
        <is>
          <t>5.0</t>
        </is>
      </c>
      <c r="AA110" s="3" t="inlineStr">
        <is>
          <t>2026-05-18
&lt; 1 个月</t>
        </is>
      </c>
      <c r="AB110" s="2" t="inlineStr">
        <is>
          <t>150 g</t>
        </is>
      </c>
      <c r="AC110" s="2" t="inlineStr">
        <is>
          <t>27 L</t>
        </is>
      </c>
      <c r="AD110" s="2" t="inlineStr">
        <is>
          <t>XiaoМи Global Store</t>
        </is>
      </c>
      <c r="AE110" s="2" t="inlineStr">
        <is>
          <t>跨境卖家</t>
        </is>
      </c>
      <c r="AF110" s="2" t="inlineStr">
        <is>
          <t>RFBS</t>
        </is>
      </c>
      <c r="AG110" s="2" t="n">
        <v>29.0</v>
      </c>
    </row>
    <row r="111" customHeight="true" ht="64.0">
      <c r="A111" s="2" t="n">
        <v>110.0</v>
      </c>
      <c r="B111" s="2" t="inlineStr">
        <is>
          <t>https://ir.ozone.ru/s3/multimedia-1-d/wc300/9264253513.jpg</t>
        </is>
      </c>
      <c r="C111" s="2" t="n">
        <f>IF(ISERROR(IMAGE("https://ir.ozone.ru/s3/multimedia-1-d/wc300/9264253513.jpg")),"请使用新版Excel2024查看图片",IMAGE("https://ir.ozone.ru/s3/multimedia-1-d/wc300/9264253513.jpg"))</f>
        <v>0.0</v>
      </c>
      <c r="D111" s="2" t="inlineStr">
        <is>
          <t>Спрей от онихомикоза масло от грибка ногтей на ногах.Средство от грибка ногтей на ногах</t>
        </is>
      </c>
      <c r="E111" s="2" t="inlineStr">
        <is>
          <t>https://www.ozon.ru/product/4367666390</t>
        </is>
      </c>
      <c r="F111" s="2" t="n">
        <v>4.36766639E9</v>
      </c>
      <c r="G111" s="2" t="inlineStr">
        <is>
          <t>POZOAMIS-63</t>
        </is>
      </c>
      <c r="H111" s="3" t="inlineStr">
        <is>
          <t>指甲和角质层产品
Средство для ногтей и кутикулы</t>
        </is>
      </c>
      <c r="I111" s="3" t="inlineStr">
        <is>
          <t>跨境卖家可售</t>
        </is>
      </c>
      <c r="J111" s="2" t="inlineStr">
        <is>
          <t>530₽</t>
        </is>
      </c>
      <c r="K111" s="2" t="n">
        <v>734.0</v>
      </c>
      <c r="L111" s="2" t="inlineStr">
        <is>
          <t>389020₽</t>
        </is>
      </c>
      <c r="M111" s="2" t="inlineStr">
        <is>
          <t>100%</t>
        </is>
      </c>
      <c r="N111" s="2" t="inlineStr">
        <is>
          <t>100%</t>
        </is>
      </c>
      <c r="O111" s="2" t="inlineStr">
        <is>
          <t>54.1%</t>
        </is>
      </c>
      <c r="P111" s="2" t="n">
        <v>163975.0</v>
      </c>
      <c r="Q111" s="2" t="n">
        <v>26505.0</v>
      </c>
      <c r="R111" s="2" t="n">
        <v>12485.0</v>
      </c>
      <c r="S111" s="2" t="inlineStr">
        <is>
          <t>22.21%</t>
        </is>
      </c>
      <c r="T111" s="2" t="inlineStr">
        <is>
          <t>26.5%</t>
        </is>
      </c>
      <c r="U111" s="2" t="inlineStr">
        <is>
          <t>32.73%</t>
        </is>
      </c>
      <c r="V111" s="2"/>
      <c r="W111" s="2" t="inlineStr">
        <is>
          <t>0₽</t>
        </is>
      </c>
      <c r="X111" s="2" t="n">
        <v>7.0</v>
      </c>
      <c r="Y111" s="2" t="n">
        <v>980.0</v>
      </c>
      <c r="Z111" s="2" t="inlineStr">
        <is>
          <t>5.0</t>
        </is>
      </c>
      <c r="AA111" s="3" t="inlineStr">
        <is>
          <t>2026-05-19
&lt; 1 个月</t>
        </is>
      </c>
      <c r="AB111" s="2" t="inlineStr">
        <is>
          <t>54 g</t>
        </is>
      </c>
      <c r="AC111" s="2" t="inlineStr">
        <is>
          <t>1.047 L</t>
        </is>
      </c>
      <c r="AD111" s="2" t="inlineStr">
        <is>
          <t>Салон ухода и красоты</t>
        </is>
      </c>
      <c r="AE111" s="2" t="inlineStr">
        <is>
          <t>跨境卖家</t>
        </is>
      </c>
      <c r="AF111" s="2" t="inlineStr">
        <is>
          <t>RFBS</t>
        </is>
      </c>
      <c r="AG111" s="2" t="n">
        <v>17.0</v>
      </c>
    </row>
    <row r="112" customHeight="true" ht="64.0">
      <c r="A112" s="2" t="n">
        <v>111.0</v>
      </c>
      <c r="B112" s="2" t="inlineStr">
        <is>
          <t>https://ir.ozone.ru/s3/multimedia-1-d/wc300/8789103697.jpg</t>
        </is>
      </c>
      <c r="C112" s="2" t="n">
        <f>IF(ISERROR(IMAGE("https://ir.ozone.ru/s3/multimedia-1-d/wc300/8789103697.jpg")),"请使用新版Excel2024查看图片",IMAGE("https://ir.ozone.ru/s3/multimedia-1-d/wc300/8789103697.jpg"))</f>
        <v>0.0</v>
      </c>
      <c r="D112" s="2" t="inlineStr">
        <is>
          <t>Беспроводная точечная сварка, ручной аппарат на аккумуляторе 2200 мАч, USB-зарядка</t>
        </is>
      </c>
      <c r="E112" s="2" t="inlineStr">
        <is>
          <t>https://www.ozon.ru/product/4313515997</t>
        </is>
      </c>
      <c r="F112" s="2" t="n">
        <v>4.313515997E9</v>
      </c>
      <c r="G112" s="2" t="inlineStr">
        <is>
          <t/>
        </is>
      </c>
      <c r="H112" s="3" t="inlineStr">
        <is>
          <t>焊接套件
Набор для пайки</t>
        </is>
      </c>
      <c r="I112" s="3" t="inlineStr">
        <is>
          <t>跨境卖家可售</t>
        </is>
      </c>
      <c r="J112" s="2" t="inlineStr">
        <is>
          <t>1130₽</t>
        </is>
      </c>
      <c r="K112" s="2" t="n">
        <v>341.0</v>
      </c>
      <c r="L112" s="2" t="inlineStr">
        <is>
          <t>385330₽</t>
        </is>
      </c>
      <c r="M112" s="2" t="inlineStr">
        <is>
          <t>100%</t>
        </is>
      </c>
      <c r="N112" s="2" t="inlineStr">
        <is>
          <t>100%</t>
        </is>
      </c>
      <c r="O112" s="2" t="inlineStr">
        <is>
          <t>54.9%</t>
        </is>
      </c>
      <c r="P112" s="2" t="n">
        <v>640.0</v>
      </c>
      <c r="Q112" s="2" t="n">
        <v>118.0</v>
      </c>
      <c r="R112" s="2" t="n">
        <v>143.0</v>
      </c>
      <c r="S112" s="2" t="inlineStr">
        <is>
          <t>62.23%</t>
        </is>
      </c>
      <c r="T112" s="2" t="inlineStr">
        <is>
          <t>360.7%</t>
        </is>
      </c>
      <c r="U112" s="2" t="inlineStr">
        <is>
          <t>0.0%</t>
        </is>
      </c>
      <c r="V112" s="2"/>
      <c r="W112" s="2" t="inlineStr">
        <is>
          <t>0₽</t>
        </is>
      </c>
      <c r="X112" s="2" t="n">
        <v>1.0</v>
      </c>
      <c r="Y112" s="2"/>
      <c r="Z112" s="2"/>
      <c r="AA112" s="3" t="inlineStr">
        <is>
          <t>2026-05-15
1 个月</t>
        </is>
      </c>
      <c r="AB112" s="2" t="inlineStr">
        <is>
          <t>300 g</t>
        </is>
      </c>
      <c r="AC112" s="2" t="inlineStr">
        <is>
          <t>2.375 L</t>
        </is>
      </c>
      <c r="AD112" s="2" t="inlineStr">
        <is>
          <t>TEMPS DETIR</t>
        </is>
      </c>
      <c r="AE112" s="2" t="inlineStr">
        <is>
          <t>跨境卖家</t>
        </is>
      </c>
      <c r="AF112" s="2" t="inlineStr">
        <is>
          <t>RFBS</t>
        </is>
      </c>
      <c r="AG112" s="2" t="n">
        <v>0.0</v>
      </c>
    </row>
    <row r="113" customHeight="true" ht="64.0">
      <c r="A113" s="2" t="n">
        <v>112.0</v>
      </c>
      <c r="B113" s="2" t="inlineStr">
        <is>
          <t>https://ir.ozone.ru/s3/multimedia-1-w/wc300/9542405408.jpg</t>
        </is>
      </c>
      <c r="C113" s="2" t="n">
        <f>IF(ISERROR(IMAGE("https://ir.ozone.ru/s3/multimedia-1-w/wc300/9542405408.jpg")),"请使用新版Excel2024查看图片",IMAGE("https://ir.ozone.ru/s3/multimedia-1-w/wc300/9542405408.jpg"))</f>
        <v>0.0</v>
      </c>
      <c r="D113" s="2" t="inlineStr">
        <is>
          <t>3D принтер SNAPMAKER U1 4 сопла FDM</t>
        </is>
      </c>
      <c r="E113" s="2" t="inlineStr">
        <is>
          <t>https://www.ozon.ru/product/4362623848</t>
        </is>
      </c>
      <c r="F113" s="2" t="n">
        <v>4.362623848E9</v>
      </c>
      <c r="G113" s="2" t="inlineStr">
        <is>
          <t/>
        </is>
      </c>
      <c r="H113" s="3" t="inlineStr">
        <is>
          <t>复印机
Копировальный аппарат</t>
        </is>
      </c>
      <c r="I113" s="3" t="inlineStr">
        <is>
          <t>跨境卖家可售</t>
        </is>
      </c>
      <c r="J113" s="2" t="inlineStr">
        <is>
          <t>64183₽</t>
        </is>
      </c>
      <c r="K113" s="2" t="n">
        <v>6.0</v>
      </c>
      <c r="L113" s="2" t="inlineStr">
        <is>
          <t>385098₽</t>
        </is>
      </c>
      <c r="M113" s="2" t="inlineStr">
        <is>
          <t>100%</t>
        </is>
      </c>
      <c r="N113" s="2" t="inlineStr">
        <is>
          <t>100%</t>
        </is>
      </c>
      <c r="O113" s="2" t="inlineStr">
        <is>
          <t>52.7%</t>
        </is>
      </c>
      <c r="P113" s="2" t="n">
        <v>1967.0</v>
      </c>
      <c r="Q113" s="2" t="n">
        <v>709.0</v>
      </c>
      <c r="R113" s="2" t="n">
        <v>591.0</v>
      </c>
      <c r="S113" s="2" t="inlineStr">
        <is>
          <t>3.72%</t>
        </is>
      </c>
      <c r="T113" s="2" t="inlineStr">
        <is>
          <t>27.3%</t>
        </is>
      </c>
      <c r="U113" s="2" t="inlineStr">
        <is>
          <t>0.0%</t>
        </is>
      </c>
      <c r="V113" s="2"/>
      <c r="W113" s="2" t="inlineStr">
        <is>
          <t>0₽</t>
        </is>
      </c>
      <c r="X113" s="2" t="n">
        <v>1.0</v>
      </c>
      <c r="Y113" s="2"/>
      <c r="Z113" s="2"/>
      <c r="AA113" s="3" t="inlineStr">
        <is>
          <t>2026-05-19
&lt; 1 个月</t>
        </is>
      </c>
      <c r="AB113" s="2" t="inlineStr">
        <is>
          <t>26000 g</t>
        </is>
      </c>
      <c r="AC113" s="2" t="inlineStr">
        <is>
          <t>145 L</t>
        </is>
      </c>
      <c r="AD113" s="2" t="inlineStr">
        <is>
          <t>NexTech RU</t>
        </is>
      </c>
      <c r="AE113" s="2" t="inlineStr">
        <is>
          <t>跨境卖家</t>
        </is>
      </c>
      <c r="AF113" s="2" t="inlineStr">
        <is>
          <t>RFBS</t>
        </is>
      </c>
      <c r="AG113" s="2" t="n">
        <v>2.0</v>
      </c>
    </row>
    <row r="114" customHeight="true" ht="64.0">
      <c r="A114" s="2" t="n">
        <v>113.0</v>
      </c>
      <c r="B114" s="2" t="inlineStr">
        <is>
          <t>https://ir.ozone.ru/s3/multimedia-1-5/wc300/11201277425.jpg</t>
        </is>
      </c>
      <c r="C114" s="2" t="n">
        <f>IF(ISERROR(IMAGE("https://ir.ozone.ru/s3/multimedia-1-5/wc300/11201277425.jpg")),"请使用新版Excel2024查看图片",IMAGE("https://ir.ozone.ru/s3/multimedia-1-5/wc300/11201277425.jpg"))</f>
        <v>0.0</v>
      </c>
      <c r="D114" s="2" t="inlineStr">
        <is>
          <t>Аккумулятор STIHL AP 300 S 36V 7.2Ah 281Wh, литий-ионная батарея для садовой техники AP-System, совместим с BGA86 MSA200 HLA86</t>
        </is>
      </c>
      <c r="E114" s="2" t="inlineStr">
        <is>
          <t>https://www.ozon.ru/product/4377814621</t>
        </is>
      </c>
      <c r="F114" s="2" t="n">
        <v>4.377814621E9</v>
      </c>
      <c r="G114" s="2" t="inlineStr">
        <is>
          <t>STIHL</t>
        </is>
      </c>
      <c r="H114" s="3" t="inlineStr">
        <is>
          <t>工具电池
Аккумулятор для инструмента</t>
        </is>
      </c>
      <c r="I114" s="3" t="inlineStr">
        <is>
          <t>跨境卖家可售</t>
        </is>
      </c>
      <c r="J114" s="2" t="inlineStr">
        <is>
          <t>20417₽</t>
        </is>
      </c>
      <c r="K114" s="2" t="n">
        <v>19.0</v>
      </c>
      <c r="L114" s="2" t="inlineStr">
        <is>
          <t>384809₽</t>
        </is>
      </c>
      <c r="M114" s="2" t="inlineStr">
        <is>
          <t>100%</t>
        </is>
      </c>
      <c r="N114" s="2" t="inlineStr">
        <is>
          <t>100%</t>
        </is>
      </c>
      <c r="O114" s="2" t="inlineStr">
        <is>
          <t>51%</t>
        </is>
      </c>
      <c r="P114" s="2" t="n">
        <v>20954.0</v>
      </c>
      <c r="Q114" s="2" t="n">
        <v>5315.0</v>
      </c>
      <c r="R114" s="2" t="n">
        <v>1340.0</v>
      </c>
      <c r="S114" s="2" t="inlineStr">
        <is>
          <t>4.77%</t>
        </is>
      </c>
      <c r="T114" s="2" t="inlineStr">
        <is>
          <t>29.7%</t>
        </is>
      </c>
      <c r="U114" s="2" t="inlineStr">
        <is>
          <t>0.67%</t>
        </is>
      </c>
      <c r="V114" s="2"/>
      <c r="W114" s="2" t="inlineStr">
        <is>
          <t>0₽</t>
        </is>
      </c>
      <c r="X114" s="2" t="n">
        <v>6.0</v>
      </c>
      <c r="Y114" s="2" t="n">
        <v>67.0</v>
      </c>
      <c r="Z114" s="2" t="inlineStr">
        <is>
          <t>4.9</t>
        </is>
      </c>
      <c r="AA114" s="3" t="inlineStr">
        <is>
          <t>2026-05-20
&lt; 1 个月</t>
        </is>
      </c>
      <c r="AB114" s="2" t="inlineStr">
        <is>
          <t>1860 g</t>
        </is>
      </c>
      <c r="AC114" s="2" t="inlineStr">
        <is>
          <t>1.564 L</t>
        </is>
      </c>
      <c r="AD114" s="2" t="inlineStr">
        <is>
          <t>Vicom Technology Co., Ltd</t>
        </is>
      </c>
      <c r="AE114" s="2" t="inlineStr">
        <is>
          <t>跨境卖家</t>
        </is>
      </c>
      <c r="AF114" s="2" t="inlineStr">
        <is>
          <t>RFBS</t>
        </is>
      </c>
      <c r="AG114" s="2" t="n">
        <v>11.0</v>
      </c>
    </row>
    <row r="115" customHeight="true" ht="64.0">
      <c r="A115" s="2" t="n">
        <v>114.0</v>
      </c>
      <c r="B115" s="2" t="inlineStr">
        <is>
          <t>https://ir.ozone.ru/s3/multimedia-1-t/wc300/10989069113.jpg</t>
        </is>
      </c>
      <c r="C115" s="2" t="n">
        <f>IF(ISERROR(IMAGE("https://ir.ozone.ru/s3/multimedia-1-t/wc300/10989069113.jpg")),"请使用新版Excel2024查看图片",IMAGE("https://ir.ozone.ru/s3/multimedia-1-t/wc300/10989069113.jpg"))</f>
        <v>0.0</v>
      </c>
      <c r="D115" s="2" t="inlineStr">
        <is>
          <t>Acer NEO(i5-13500HX + RTX 4060) Игровой ноутбук 16", Intel Core i5-13500HX, RAM 16 ГБ, SSD 512 ГБ, NVIDIA GeForce RTX 4060 для ноутбуков (8 Гб), Windo</t>
        </is>
      </c>
      <c r="E115" s="2" t="inlineStr">
        <is>
          <t>https://www.ozon.ru/product/4519624633</t>
        </is>
      </c>
      <c r="F115" s="2" t="n">
        <v>4.519624633E9</v>
      </c>
      <c r="G115" s="2" t="inlineStr">
        <is>
          <t/>
        </is>
      </c>
      <c r="H115" s="3" t="inlineStr">
        <is>
          <t>游戏笔记本电脑
Игровой ноутбук</t>
        </is>
      </c>
      <c r="I115" s="3" t="inlineStr">
        <is>
          <t>跨境卖家可售</t>
        </is>
      </c>
      <c r="J115" s="2" t="inlineStr">
        <is>
          <t>64087₽</t>
        </is>
      </c>
      <c r="K115" s="2" t="n">
        <v>6.0</v>
      </c>
      <c r="L115" s="2" t="inlineStr">
        <is>
          <t>384683₽</t>
        </is>
      </c>
      <c r="M115" s="2" t="inlineStr">
        <is>
          <t>100%</t>
        </is>
      </c>
      <c r="N115" s="2" t="inlineStr">
        <is>
          <t>100%</t>
        </is>
      </c>
      <c r="O115" s="2" t="inlineStr">
        <is>
          <t>60.7%</t>
        </is>
      </c>
      <c r="P115" s="2" t="n">
        <v>2653.0</v>
      </c>
      <c r="Q115" s="2" t="n">
        <v>1055.0</v>
      </c>
      <c r="R115" s="2" t="n">
        <v>704.0</v>
      </c>
      <c r="S115" s="2" t="inlineStr">
        <is>
          <t>5.53%</t>
        </is>
      </c>
      <c r="T115" s="2" t="inlineStr">
        <is>
          <t>15.4%</t>
        </is>
      </c>
      <c r="U115" s="2" t="inlineStr">
        <is>
          <t>0.0%</t>
        </is>
      </c>
      <c r="V115" s="2"/>
      <c r="W115" s="2" t="inlineStr">
        <is>
          <t>0₽</t>
        </is>
      </c>
      <c r="X115" s="2" t="n">
        <v>1.0</v>
      </c>
      <c r="Y115" s="2"/>
      <c r="Z115" s="2"/>
      <c r="AA115" s="3" t="inlineStr">
        <is>
          <t>2026-05-31
&lt; 1 个月</t>
        </is>
      </c>
      <c r="AB115" s="2" t="inlineStr">
        <is>
          <t>4000 g</t>
        </is>
      </c>
      <c r="AC115" s="2" t="inlineStr">
        <is>
          <t>12 L</t>
        </is>
      </c>
      <c r="AD115" s="2" t="inlineStr">
        <is>
          <t>RFCLUB Магазин</t>
        </is>
      </c>
      <c r="AE115" s="2" t="inlineStr">
        <is>
          <t>跨境卖家</t>
        </is>
      </c>
      <c r="AF115" s="2" t="inlineStr">
        <is>
          <t>RFBS</t>
        </is>
      </c>
      <c r="AG115" s="2" t="n">
        <v>0.0</v>
      </c>
    </row>
    <row r="116" customHeight="true" ht="64.0">
      <c r="A116" s="2" t="n">
        <v>115.0</v>
      </c>
      <c r="B116" s="2" t="inlineStr">
        <is>
          <t>https://ir.ozone.ru/s3/multimedia-1-s/wc300/10892563444.jpg</t>
        </is>
      </c>
      <c r="C116" s="2" t="n">
        <f>IF(ISERROR(IMAGE("https://ir.ozone.ru/s3/multimedia-1-s/wc300/10892563444.jpg")),"请使用新版Excel2024查看图片",IMAGE("https://ir.ozone.ru/s3/multimedia-1-s/wc300/10892563444.jpg"))</f>
        <v>0.0</v>
      </c>
      <c r="D116" s="2" t="inlineStr">
        <is>
          <t>Beatbot Sora 70 Робот-пылесос для бассейнов , всесторонняя уборка на 360, очищает дно, стены, поверхность воды и мелководье; подходит для бассейнов пл</t>
        </is>
      </c>
      <c r="E116" s="2" t="inlineStr">
        <is>
          <t>https://www.ozon.ru/product/4478838299</t>
        </is>
      </c>
      <c r="F116" s="2" t="n">
        <v>4.478838299E9</v>
      </c>
      <c r="G116" s="2" t="inlineStr">
        <is>
          <t/>
        </is>
      </c>
      <c r="H116" s="3" t="inlineStr">
        <is>
          <t>泳池清洗机
Пылесос для бассейна</t>
        </is>
      </c>
      <c r="I116" s="3" t="inlineStr">
        <is>
          <t>跨境卖家可售</t>
        </is>
      </c>
      <c r="J116" s="2" t="inlineStr">
        <is>
          <t>94986₽</t>
        </is>
      </c>
      <c r="K116" s="2" t="n">
        <v>4.0</v>
      </c>
      <c r="L116" s="2" t="inlineStr">
        <is>
          <t>379944₽</t>
        </is>
      </c>
      <c r="M116" s="2" t="inlineStr">
        <is>
          <t>100%</t>
        </is>
      </c>
      <c r="N116" s="2" t="inlineStr">
        <is>
          <t>100%</t>
        </is>
      </c>
      <c r="O116" s="2" t="inlineStr">
        <is>
          <t>52.8%</t>
        </is>
      </c>
      <c r="P116" s="2" t="n">
        <v>2972.0</v>
      </c>
      <c r="Q116" s="2" t="n">
        <v>522.0</v>
      </c>
      <c r="R116" s="2" t="n">
        <v>1760.0</v>
      </c>
      <c r="S116" s="2" t="inlineStr">
        <is>
          <t>1.02%</t>
        </is>
      </c>
      <c r="T116" s="2" t="inlineStr">
        <is>
          <t>22.2%</t>
        </is>
      </c>
      <c r="U116" s="2" t="inlineStr">
        <is>
          <t>0.0%</t>
        </is>
      </c>
      <c r="V116" s="2"/>
      <c r="W116" s="2" t="inlineStr">
        <is>
          <t>0₽</t>
        </is>
      </c>
      <c r="X116" s="2" t="n">
        <v>13.0</v>
      </c>
      <c r="Y116" s="2" t="n">
        <v>104.0</v>
      </c>
      <c r="Z116" s="2"/>
      <c r="AA116" s="3" t="inlineStr">
        <is>
          <t>2026-05-28
&lt; 1 个月</t>
        </is>
      </c>
      <c r="AB116" s="2" t="inlineStr">
        <is>
          <t>10387 g</t>
        </is>
      </c>
      <c r="AC116" s="2" t="inlineStr">
        <is>
          <t>52.877 L</t>
        </is>
      </c>
      <c r="AD116" s="2" t="inlineStr">
        <is>
          <t>Универмаг Airrow</t>
        </is>
      </c>
      <c r="AE116" s="2" t="inlineStr">
        <is>
          <t>跨境卖家</t>
        </is>
      </c>
      <c r="AF116" s="2" t="inlineStr">
        <is>
          <t>RFBS</t>
        </is>
      </c>
      <c r="AG116" s="2" t="n">
        <v>86.0</v>
      </c>
    </row>
    <row r="117" customHeight="true" ht="64.0">
      <c r="A117" s="2" t="n">
        <v>116.0</v>
      </c>
      <c r="B117" s="2" t="inlineStr">
        <is>
          <t>https://ir.ozone.ru/s3/multimedia-1-p/wc300/10648260529.jpg</t>
        </is>
      </c>
      <c r="C117" s="2" t="n">
        <f>IF(ISERROR(IMAGE("https://ir.ozone.ru/s3/multimedia-1-p/wc300/10648260529.jpg")),"请使用新版Excel2024查看图片",IMAGE("https://ir.ozone.ru/s3/multimedia-1-p/wc300/10648260529.jpg"))</f>
        <v>0.0</v>
      </c>
      <c r="D117" s="2" t="inlineStr">
        <is>
          <t>Гобо-проектор 2026 Vidda M2 Pro Brand New, белый</t>
        </is>
      </c>
      <c r="E117" s="2" t="inlineStr">
        <is>
          <t>https://www.ozon.ru/product/4384583660</t>
        </is>
      </c>
      <c r="F117" s="2" t="n">
        <v>4.38458366E9</v>
      </c>
      <c r="G117" s="2" t="inlineStr">
        <is>
          <t/>
        </is>
      </c>
      <c r="H117" s="3" t="inlineStr">
        <is>
          <t>图案投影仪
Гобо-проектор</t>
        </is>
      </c>
      <c r="I117" s="3" t="inlineStr">
        <is>
          <t>跨境卖家可售</t>
        </is>
      </c>
      <c r="J117" s="2" t="inlineStr">
        <is>
          <t>42148₽</t>
        </is>
      </c>
      <c r="K117" s="2" t="n">
        <v>9.0</v>
      </c>
      <c r="L117" s="2" t="inlineStr">
        <is>
          <t>377656₽</t>
        </is>
      </c>
      <c r="M117" s="2" t="inlineStr">
        <is>
          <t>100%</t>
        </is>
      </c>
      <c r="N117" s="2" t="inlineStr">
        <is>
          <t>100%</t>
        </is>
      </c>
      <c r="O117" s="2" t="inlineStr">
        <is>
          <t>52.5%</t>
        </is>
      </c>
      <c r="P117" s="2" t="n">
        <v>11321.0</v>
      </c>
      <c r="Q117" s="2" t="n">
        <v>4949.0</v>
      </c>
      <c r="R117" s="2" t="n">
        <v>1537.0</v>
      </c>
      <c r="S117" s="2" t="inlineStr">
        <is>
          <t>3.25%</t>
        </is>
      </c>
      <c r="T117" s="2" t="inlineStr">
        <is>
          <t>18.0%</t>
        </is>
      </c>
      <c r="U117" s="2" t="inlineStr">
        <is>
          <t>0.87%</t>
        </is>
      </c>
      <c r="V117" s="2"/>
      <c r="W117" s="2" t="inlineStr">
        <is>
          <t>0₽</t>
        </is>
      </c>
      <c r="X117" s="2" t="n">
        <v>1.0</v>
      </c>
      <c r="Y117" s="2"/>
      <c r="Z117" s="2"/>
      <c r="AA117" s="3" t="inlineStr">
        <is>
          <t>2026-05-21
&lt; 1 个月</t>
        </is>
      </c>
      <c r="AB117" s="2" t="inlineStr">
        <is>
          <t>5800 g</t>
        </is>
      </c>
      <c r="AC117" s="2" t="inlineStr">
        <is>
          <t>3.375 L</t>
        </is>
      </c>
      <c r="AD117" s="2" t="inlineStr">
        <is>
          <t>VRvr  v</t>
        </is>
      </c>
      <c r="AE117" s="2" t="inlineStr">
        <is>
          <t>跨境卖家</t>
        </is>
      </c>
      <c r="AF117" s="2" t="inlineStr">
        <is>
          <t>RFBS</t>
        </is>
      </c>
      <c r="AG117" s="2" t="n">
        <v>12.0</v>
      </c>
    </row>
    <row r="118" customHeight="true" ht="64.0">
      <c r="A118" s="2" t="n">
        <v>117.0</v>
      </c>
      <c r="B118" s="2" t="inlineStr">
        <is>
          <t>https://ir.ozone.ru/s3/multimedia-1-l/wc300/10772091345.jpg</t>
        </is>
      </c>
      <c r="C118" s="2" t="n">
        <f>IF(ISERROR(IMAGE("https://ir.ozone.ru/s3/multimedia-1-l/wc300/10772091345.jpg")),"请使用新版Excel2024查看图片",IMAGE("https://ir.ozone.ru/s3/multimedia-1-l/wc300/10772091345.jpg"))</f>
        <v>0.0</v>
      </c>
      <c r="D118" s="2" t="inlineStr">
        <is>
          <t>askar,SQA60 pro,f4.6,276mm focus lengh,астрономический телескоп</t>
        </is>
      </c>
      <c r="E118" s="2" t="inlineStr">
        <is>
          <t>https://www.ozon.ru/product/4431099132</t>
        </is>
      </c>
      <c r="F118" s="2" t="n">
        <v>4.431099132E9</v>
      </c>
      <c r="G118" s="2" t="inlineStr">
        <is>
          <t>ASKAR</t>
        </is>
      </c>
      <c r="H118" s="3" t="inlineStr">
        <is>
          <t>望远镜
Телескоп</t>
        </is>
      </c>
      <c r="I118" s="3" t="inlineStr">
        <is>
          <t>跨境卖家可售</t>
        </is>
      </c>
      <c r="J118" s="2" t="inlineStr">
        <is>
          <t>75151₽</t>
        </is>
      </c>
      <c r="K118" s="2" t="n">
        <v>5.0</v>
      </c>
      <c r="L118" s="2" t="inlineStr">
        <is>
          <t>374317₽</t>
        </is>
      </c>
      <c r="M118" s="2" t="inlineStr">
        <is>
          <t>100%</t>
        </is>
      </c>
      <c r="N118" s="2" t="inlineStr">
        <is>
          <t>100%</t>
        </is>
      </c>
      <c r="O118" s="2" t="inlineStr">
        <is>
          <t>56.2%</t>
        </is>
      </c>
      <c r="P118" s="2" t="n">
        <v>1819.0</v>
      </c>
      <c r="Q118" s="2" t="n">
        <v>170.0</v>
      </c>
      <c r="R118" s="2" t="n">
        <v>519.0</v>
      </c>
      <c r="S118" s="2" t="inlineStr">
        <is>
          <t>2.69%</t>
        </is>
      </c>
      <c r="T118" s="2" t="inlineStr">
        <is>
          <t>35.7%</t>
        </is>
      </c>
      <c r="U118" s="2" t="inlineStr">
        <is>
          <t>0.0%</t>
        </is>
      </c>
      <c r="V118" s="2"/>
      <c r="W118" s="2" t="inlineStr">
        <is>
          <t>0₽</t>
        </is>
      </c>
      <c r="X118" s="2" t="n">
        <v>11.0</v>
      </c>
      <c r="Y118" s="2" t="n">
        <v>23.0</v>
      </c>
      <c r="Z118" s="2" t="inlineStr">
        <is>
          <t>5.0</t>
        </is>
      </c>
      <c r="AA118" s="3" t="inlineStr">
        <is>
          <t>2026-05-25
&lt; 1 个月</t>
        </is>
      </c>
      <c r="AB118" s="2" t="inlineStr">
        <is>
          <t>6800 g</t>
        </is>
      </c>
      <c r="AC118" s="2" t="inlineStr">
        <is>
          <t>50.568 L</t>
        </is>
      </c>
      <c r="AD118" s="2" t="inlineStr">
        <is>
          <t>MH</t>
        </is>
      </c>
      <c r="AE118" s="2" t="inlineStr">
        <is>
          <t>跨境卖家</t>
        </is>
      </c>
      <c r="AF118" s="2" t="inlineStr">
        <is>
          <t>RFBS</t>
        </is>
      </c>
      <c r="AG118" s="2" t="n">
        <v>8.0</v>
      </c>
    </row>
    <row r="119" customHeight="true" ht="64.0">
      <c r="A119" s="2" t="n">
        <v>118.0</v>
      </c>
      <c r="B119" s="2" t="inlineStr">
        <is>
          <t>https://ir.ozone.ru/s3/multimedia-1-u/wc300/10690967766.jpg</t>
        </is>
      </c>
      <c r="C119" s="2" t="n">
        <f>IF(ISERROR(IMAGE("https://ir.ozone.ru/s3/multimedia-1-u/wc300/10690967766.jpg")),"请使用新版Excel2024查看图片",IMAGE("https://ir.ozone.ru/s3/multimedia-1-u/wc300/10690967766.jpg"))</f>
        <v>0.0</v>
      </c>
      <c r="D119" s="2" t="inlineStr">
        <is>
          <t>DJI Osmo Action 4 Экшн-камера с сенсором 1/1,3 дюйма Для съемки в условиях низкой освещенности, 10-битная цветопередача D-Log M с разрешением 4K/120 к</t>
        </is>
      </c>
      <c r="E119" s="2" t="inlineStr">
        <is>
          <t>https://www.ozon.ru/product/4506419774</t>
        </is>
      </c>
      <c r="F119" s="2" t="n">
        <v>4.506419774E9</v>
      </c>
      <c r="G119" s="2" t="inlineStr">
        <is>
          <t/>
        </is>
      </c>
      <c r="H119" s="3" t="inlineStr">
        <is>
          <t>相机配件
Аксессуар для камеры</t>
        </is>
      </c>
      <c r="I119" s="3" t="inlineStr">
        <is>
          <t>跨境卖家可售</t>
        </is>
      </c>
      <c r="J119" s="2" t="inlineStr">
        <is>
          <t>18779₽</t>
        </is>
      </c>
      <c r="K119" s="2" t="n">
        <v>17.0</v>
      </c>
      <c r="L119" s="2" t="inlineStr">
        <is>
          <t>371289₽</t>
        </is>
      </c>
      <c r="M119" s="2" t="inlineStr">
        <is>
          <t>100%</t>
        </is>
      </c>
      <c r="N119" s="2" t="inlineStr">
        <is>
          <t>100%</t>
        </is>
      </c>
      <c r="O119" s="2" t="inlineStr">
        <is>
          <t>47.9%</t>
        </is>
      </c>
      <c r="P119" s="2" t="n">
        <v>3879.0</v>
      </c>
      <c r="Q119" s="2" t="n">
        <v>1512.0</v>
      </c>
      <c r="R119" s="2" t="n">
        <v>710.0</v>
      </c>
      <c r="S119" s="2" t="inlineStr">
        <is>
          <t>4.78%</t>
        </is>
      </c>
      <c r="T119" s="2" t="inlineStr">
        <is>
          <t>50.0%</t>
        </is>
      </c>
      <c r="U119" s="2" t="inlineStr">
        <is>
          <t>1.9%</t>
        </is>
      </c>
      <c r="V119" s="2"/>
      <c r="W119" s="2" t="inlineStr">
        <is>
          <t>0₽</t>
        </is>
      </c>
      <c r="X119" s="2" t="n">
        <v>1.0</v>
      </c>
      <c r="Y119" s="2"/>
      <c r="Z119" s="2"/>
      <c r="AA119" s="3" t="inlineStr">
        <is>
          <t>2026-05-30
&lt; 1 个月</t>
        </is>
      </c>
      <c r="AB119" s="2" t="inlineStr">
        <is>
          <t>381 g</t>
        </is>
      </c>
      <c r="AC119" s="2" t="inlineStr">
        <is>
          <t>2.857 L</t>
        </is>
      </c>
      <c r="AD119" s="2" t="inlineStr">
        <is>
          <t>TechForge Dynamics 3</t>
        </is>
      </c>
      <c r="AE119" s="2" t="inlineStr">
        <is>
          <t>跨境卖家</t>
        </is>
      </c>
      <c r="AF119" s="2" t="inlineStr">
        <is>
          <t>RFBS</t>
        </is>
      </c>
      <c r="AG119" s="2" t="n">
        <v>0.0</v>
      </c>
    </row>
    <row r="120" customHeight="true" ht="64.0">
      <c r="A120" s="2" t="n">
        <v>119.0</v>
      </c>
      <c r="B120" s="2" t="inlineStr">
        <is>
          <t>https://ir.ozone.ru/s3/multimedia-1-8/wc300/10767026636.jpg</t>
        </is>
      </c>
      <c r="C120" s="2" t="n">
        <f>IF(ISERROR(IMAGE("https://ir.ozone.ru/s3/multimedia-1-8/wc300/10767026636.jpg")),"请使用新版Excel2024查看图片",IMAGE("https://ir.ozone.ru/s3/multimedia-1-8/wc300/10767026636.jpg"))</f>
        <v>0.0</v>
      </c>
      <c r="D120" s="2" t="inlineStr">
        <is>
          <t>Dreame Газонокосилка-робот самоходный</t>
        </is>
      </c>
      <c r="E120" s="2" t="inlineStr">
        <is>
          <t>https://www.ozon.ru/product/4429292346</t>
        </is>
      </c>
      <c r="F120" s="2" t="n">
        <v>4.429292346E9</v>
      </c>
      <c r="G120" s="2" t="inlineStr">
        <is>
          <t>Dreame</t>
        </is>
      </c>
      <c r="H120" s="3" t="inlineStr">
        <is>
          <t>垂直割草机
Вертикуттер</t>
        </is>
      </c>
      <c r="I120" s="3" t="inlineStr">
        <is>
          <t>跨境卖家可售</t>
        </is>
      </c>
      <c r="J120" s="2" t="inlineStr">
        <is>
          <t>185145₽</t>
        </is>
      </c>
      <c r="K120" s="2" t="n">
        <v>2.0</v>
      </c>
      <c r="L120" s="2" t="inlineStr">
        <is>
          <t>370290₽</t>
        </is>
      </c>
      <c r="M120" s="2" t="inlineStr">
        <is>
          <t>100%</t>
        </is>
      </c>
      <c r="N120" s="2" t="inlineStr">
        <is>
          <t>100%</t>
        </is>
      </c>
      <c r="O120" s="2" t="inlineStr">
        <is>
          <t/>
        </is>
      </c>
      <c r="P120" s="2" t="n">
        <v>2075.0</v>
      </c>
      <c r="Q120" s="2" t="n">
        <v>506.0</v>
      </c>
      <c r="R120" s="2" t="n">
        <v>401.0</v>
      </c>
      <c r="S120" s="2" t="inlineStr">
        <is>
          <t>4.98%</t>
        </is>
      </c>
      <c r="T120" s="2" t="inlineStr">
        <is>
          <t>10.0%</t>
        </is>
      </c>
      <c r="U120" s="2" t="inlineStr">
        <is>
          <t>0.07%</t>
        </is>
      </c>
      <c r="V120" s="2" t="inlineStr">
        <is>
          <t>0.0%</t>
        </is>
      </c>
      <c r="W120" s="2" t="inlineStr">
        <is>
          <t>0₽</t>
        </is>
      </c>
      <c r="X120" s="2" t="n">
        <v>1.0</v>
      </c>
      <c r="Y120" s="2"/>
      <c r="Z120" s="2"/>
      <c r="AA120" s="3" t="inlineStr">
        <is>
          <t>2026-05-25
&lt; 1 个月</t>
        </is>
      </c>
      <c r="AB120" s="2" t="inlineStr">
        <is>
          <t/>
        </is>
      </c>
      <c r="AC120" s="2" t="inlineStr">
        <is>
          <t/>
        </is>
      </c>
      <c r="AD120" s="2" t="inlineStr">
        <is>
          <t>Harbor Grain</t>
        </is>
      </c>
      <c r="AE120" s="2" t="inlineStr">
        <is>
          <t>跨境卖家</t>
        </is>
      </c>
      <c r="AF120" s="2" t="inlineStr">
        <is>
          <t>RFBS</t>
        </is>
      </c>
      <c r="AG120" s="2" t="n">
        <v>4.0</v>
      </c>
    </row>
    <row r="121" customHeight="true" ht="64.0">
      <c r="A121" s="2" t="n">
        <v>120.0</v>
      </c>
      <c r="B121" s="2" t="inlineStr">
        <is>
          <t>https://ir.ozone.ru/s3/multimedia-1-6/wc300/8206933146.jpg</t>
        </is>
      </c>
      <c r="C121" s="2" t="n">
        <f>IF(ISERROR(IMAGE("https://ir.ozone.ru/s3/multimedia-1-6/wc300/8206933146.jpg")),"请使用新版Excel2024查看图片",IMAGE("https://ir.ozone.ru/s3/multimedia-1-6/wc300/8206933146.jpg"))</f>
        <v>0.0</v>
      </c>
      <c r="D121" s="2" t="inlineStr">
        <is>
          <t>XR Очки VITURE Beast с дисплеем от Sony 4K,174 дюймов ,58 FOV, частотой 120 Гц, яркость 1250 Nits,Хамманская акустика,cовместимые с Android/Mac/PC/Steam Deck/Switch2-Regular 58-70mm</t>
        </is>
      </c>
      <c r="E121" s="2" t="inlineStr">
        <is>
          <t>https://www.ozon.ru/product/4378792727</t>
        </is>
      </c>
      <c r="F121" s="2" t="n">
        <v>4.378792727E9</v>
      </c>
      <c r="G121" s="2" t="inlineStr">
        <is>
          <t>VITURE</t>
        </is>
      </c>
      <c r="H121" s="3" t="inlineStr">
        <is>
          <t>VR眼镜
VR-очки</t>
        </is>
      </c>
      <c r="I121" s="3" t="inlineStr">
        <is>
          <t>跨境卖家可售</t>
        </is>
      </c>
      <c r="J121" s="2" t="inlineStr">
        <is>
          <t>40947₽</t>
        </is>
      </c>
      <c r="K121" s="2" t="n">
        <v>9.0</v>
      </c>
      <c r="L121" s="2" t="inlineStr">
        <is>
          <t>368523₽</t>
        </is>
      </c>
      <c r="M121" s="2" t="inlineStr">
        <is>
          <t>100%</t>
        </is>
      </c>
      <c r="N121" s="2" t="inlineStr">
        <is>
          <t>100%</t>
        </is>
      </c>
      <c r="O121" s="2" t="inlineStr">
        <is>
          <t/>
        </is>
      </c>
      <c r="P121" s="2" t="n">
        <v>1755.0</v>
      </c>
      <c r="Q121" s="2" t="n">
        <v>355.0</v>
      </c>
      <c r="R121" s="2" t="n">
        <v>391.0</v>
      </c>
      <c r="S121" s="2" t="inlineStr">
        <is>
          <t>5.62%</t>
        </is>
      </c>
      <c r="T121" s="2" t="inlineStr">
        <is>
          <t>40.9%</t>
        </is>
      </c>
      <c r="U121" s="2" t="inlineStr">
        <is>
          <t>0.0%</t>
        </is>
      </c>
      <c r="V121" s="2"/>
      <c r="W121" s="2" t="inlineStr">
        <is>
          <t>0₽</t>
        </is>
      </c>
      <c r="X121" s="2" t="n">
        <v>1.0</v>
      </c>
      <c r="Y121" s="2"/>
      <c r="Z121" s="2"/>
      <c r="AA121" s="3" t="inlineStr">
        <is>
          <t>2026-05-20
&lt; 1 个月</t>
        </is>
      </c>
      <c r="AB121" s="2" t="inlineStr">
        <is>
          <t/>
        </is>
      </c>
      <c r="AC121" s="2" t="inlineStr">
        <is>
          <t/>
        </is>
      </c>
      <c r="AD121" s="2" t="inlineStr">
        <is>
          <t>Honto RU Store</t>
        </is>
      </c>
      <c r="AE121" s="2" t="inlineStr">
        <is>
          <t>跨境卖家</t>
        </is>
      </c>
      <c r="AF121" s="2" t="inlineStr">
        <is>
          <t>RFBS</t>
        </is>
      </c>
      <c r="AG121" s="2" t="n">
        <v>2.0</v>
      </c>
    </row>
    <row r="122" customHeight="true" ht="64.0">
      <c r="A122" s="2" t="n">
        <v>121.0</v>
      </c>
      <c r="B122" s="2" t="inlineStr">
        <is>
          <t>https://ir.ozone.ru/s3/multimedia-1-7/wc300/10812940027.jpg</t>
        </is>
      </c>
      <c r="C122" s="2" t="n">
        <f>IF(ISERROR(IMAGE("https://ir.ozone.ru/s3/multimedia-1-7/wc300/10812940027.jpg")),"请使用新版Excel2024查看图片",IMAGE("https://ir.ozone.ru/s3/multimedia-1-7/wc300/10812940027.jpg"))</f>
        <v>0.0</v>
      </c>
      <c r="D122" s="2" t="inlineStr">
        <is>
          <t>ASUS Vivobook Pro 16 2026, AMD Ryzen AI9 H 465, AMD Radeon 880M, RAM 32 ГБ, SSD 1024 ГБ, 2560*1600 165 Гц, Windows Home, черный, Русская раскладка Ноутбук 16", AMD Ryzen AI 9 H 465, RAM 32 ГБ 1024 ГБ, AMD Radeon 880M, Windows Home, серый металлик, Русская раскладка</t>
        </is>
      </c>
      <c r="E122" s="2" t="inlineStr">
        <is>
          <t>https://www.ozon.ru/product/4447092299</t>
        </is>
      </c>
      <c r="F122" s="2" t="n">
        <v>4.447092299E9</v>
      </c>
      <c r="G122" s="2" t="inlineStr">
        <is>
          <t>ASUS</t>
        </is>
      </c>
      <c r="H122" s="3" t="inlineStr">
        <is>
          <t>笔记本电脑
Ноутбук</t>
        </is>
      </c>
      <c r="I122" s="3" t="inlineStr">
        <is>
          <t>跨境卖家可售</t>
        </is>
      </c>
      <c r="J122" s="2" t="inlineStr">
        <is>
          <t>90693₽</t>
        </is>
      </c>
      <c r="K122" s="2" t="n">
        <v>4.0</v>
      </c>
      <c r="L122" s="2" t="inlineStr">
        <is>
          <t>368351₽</t>
        </is>
      </c>
      <c r="M122" s="2" t="inlineStr">
        <is>
          <t>100%</t>
        </is>
      </c>
      <c r="N122" s="2" t="inlineStr">
        <is>
          <t>100%</t>
        </is>
      </c>
      <c r="O122" s="2" t="inlineStr">
        <is>
          <t>60.8%</t>
        </is>
      </c>
      <c r="P122" s="2" t="n">
        <v>2945.0</v>
      </c>
      <c r="Q122" s="2" t="n">
        <v>383.0</v>
      </c>
      <c r="R122" s="2" t="n">
        <v>636.0</v>
      </c>
      <c r="S122" s="2" t="inlineStr">
        <is>
          <t>4.4%</t>
        </is>
      </c>
      <c r="T122" s="2" t="inlineStr">
        <is>
          <t>14.3%</t>
        </is>
      </c>
      <c r="U122" s="2" t="inlineStr">
        <is>
          <t>0.0%</t>
        </is>
      </c>
      <c r="V122" s="2"/>
      <c r="W122" s="2" t="inlineStr">
        <is>
          <t>0₽</t>
        </is>
      </c>
      <c r="X122" s="2" t="n">
        <v>1.0</v>
      </c>
      <c r="Y122" s="2" t="n">
        <v>27.0</v>
      </c>
      <c r="Z122" s="2" t="inlineStr">
        <is>
          <t>5.0</t>
        </is>
      </c>
      <c r="AA122" s="3" t="inlineStr">
        <is>
          <t>2026-05-26
&lt; 1 个月</t>
        </is>
      </c>
      <c r="AB122" s="2" t="inlineStr">
        <is>
          <t>3200 g</t>
        </is>
      </c>
      <c r="AC122" s="2" t="inlineStr">
        <is>
          <t>42.768 L</t>
        </is>
      </c>
      <c r="AD122" s="2" t="inlineStr">
        <is>
          <t>TookFun ПК Эксперт</t>
        </is>
      </c>
      <c r="AE122" s="2" t="inlineStr">
        <is>
          <t>跨境卖家</t>
        </is>
      </c>
      <c r="AF122" s="2" t="inlineStr">
        <is>
          <t>RFBS</t>
        </is>
      </c>
      <c r="AG122" s="2" t="n">
        <v>0.0</v>
      </c>
    </row>
    <row r="123" customHeight="true" ht="64.0">
      <c r="A123" s="2" t="n">
        <v>122.0</v>
      </c>
      <c r="B123" s="2" t="inlineStr">
        <is>
          <t>https://ir.ozone.ru/s3/multimedia-1-v/wc300/10684072543.jpg</t>
        </is>
      </c>
      <c r="C123" s="2" t="n">
        <f>IF(ISERROR(IMAGE("https://ir.ozone.ru/s3/multimedia-1-v/wc300/10684072543.jpg")),"请使用新版Excel2024查看图片",IMAGE("https://ir.ozone.ru/s3/multimedia-1-v/wc300/10684072543.jpg"))</f>
        <v>0.0</v>
      </c>
      <c r="D123" s="2" t="inlineStr">
        <is>
          <t>klipsch Flexus Core300 Беспроводная Bluetooth-колонка Dolby Atmos для домашней гостиной имеет несколько источников входного сигнала, и отличается невысокой стоимостью</t>
        </is>
      </c>
      <c r="E123" s="2" t="inlineStr">
        <is>
          <t>https://www.ozon.ru/product/4397832854</t>
        </is>
      </c>
      <c r="F123" s="2" t="n">
        <v>4.397832854E9</v>
      </c>
      <c r="G123" s="2" t="inlineStr">
        <is>
          <t/>
        </is>
      </c>
      <c r="H123" s="3" t="inlineStr">
        <is>
          <t>回音壁
Саундбар</t>
        </is>
      </c>
      <c r="I123" s="3" t="inlineStr">
        <is>
          <t>跨境卖家可售</t>
        </is>
      </c>
      <c r="J123" s="2" t="inlineStr">
        <is>
          <t>61296₽</t>
        </is>
      </c>
      <c r="K123" s="2" t="n">
        <v>6.0</v>
      </c>
      <c r="L123" s="2" t="inlineStr">
        <is>
          <t>367776₽</t>
        </is>
      </c>
      <c r="M123" s="2" t="inlineStr">
        <is>
          <t>100%</t>
        </is>
      </c>
      <c r="N123" s="2" t="inlineStr">
        <is>
          <t>100%</t>
        </is>
      </c>
      <c r="O123" s="2" t="inlineStr">
        <is>
          <t>54.2%</t>
        </is>
      </c>
      <c r="P123" s="2" t="n">
        <v>2209.0</v>
      </c>
      <c r="Q123" s="2" t="n">
        <v>213.0</v>
      </c>
      <c r="R123" s="2" t="n">
        <v>486.0</v>
      </c>
      <c r="S123" s="2" t="inlineStr">
        <is>
          <t>4.52%</t>
        </is>
      </c>
      <c r="T123" s="2" t="inlineStr">
        <is>
          <t>27.3%</t>
        </is>
      </c>
      <c r="U123" s="2" t="inlineStr">
        <is>
          <t>0.0%</t>
        </is>
      </c>
      <c r="V123" s="2"/>
      <c r="W123" s="2" t="inlineStr">
        <is>
          <t>0₽</t>
        </is>
      </c>
      <c r="X123" s="2" t="n">
        <v>1.0</v>
      </c>
      <c r="Y123" s="2"/>
      <c r="Z123" s="2"/>
      <c r="AA123" s="3" t="inlineStr">
        <is>
          <t>2026-05-22
&lt; 1 个月</t>
        </is>
      </c>
      <c r="AB123" s="2" t="inlineStr">
        <is>
          <t>10000 g</t>
        </is>
      </c>
      <c r="AC123" s="2" t="inlineStr">
        <is>
          <t>108 L</t>
        </is>
      </c>
      <c r="AD123" s="2" t="inlineStr">
        <is>
          <t>chenfei</t>
        </is>
      </c>
      <c r="AE123" s="2" t="inlineStr">
        <is>
          <t>跨境卖家</t>
        </is>
      </c>
      <c r="AF123" s="2" t="inlineStr">
        <is>
          <t>RFBS</t>
        </is>
      </c>
      <c r="AG123" s="2" t="n">
        <v>3.0</v>
      </c>
    </row>
    <row r="124" customHeight="true" ht="64.0">
      <c r="A124" s="2" t="n">
        <v>123.0</v>
      </c>
      <c r="B124" s="2" t="inlineStr">
        <is>
          <t>https://ir.ozone.ru/s3/multimedia-1-l/wc300/10803975897.jpg</t>
        </is>
      </c>
      <c r="C124" s="2" t="n">
        <f>IF(ISERROR(IMAGE("https://ir.ozone.ru/s3/multimedia-1-l/wc300/10803975897.jpg")),"请使用新版Excel2024查看图片",IMAGE("https://ir.ozone.ru/s3/multimedia-1-l/wc300/10803975897.jpg"))</f>
        <v>0.0</v>
      </c>
      <c r="D124" s="2" t="inlineStr">
        <is>
          <t>Смартфон Redmagic 019b5a0e4bde75caa047a2419c96b6f2  12/, nightfreeze</t>
        </is>
      </c>
      <c r="E124" s="2" t="inlineStr">
        <is>
          <t>https://www.ozon.ru/product/4443141990</t>
        </is>
      </c>
      <c r="F124" s="2" t="n">
        <v>4.44314199E9</v>
      </c>
      <c r="G124" s="2" t="inlineStr">
        <is>
          <t/>
        </is>
      </c>
      <c r="H124" s="3" t="inlineStr">
        <is>
          <t>智能手机
Смартфон</t>
        </is>
      </c>
      <c r="I124" s="3" t="inlineStr">
        <is>
          <t>跨境卖家可售</t>
        </is>
      </c>
      <c r="J124" s="2" t="inlineStr">
        <is>
          <t>61287₽</t>
        </is>
      </c>
      <c r="K124" s="2" t="n">
        <v>6.0</v>
      </c>
      <c r="L124" s="2" t="inlineStr">
        <is>
          <t>367722₽</t>
        </is>
      </c>
      <c r="M124" s="2" t="inlineStr">
        <is>
          <t>100%</t>
        </is>
      </c>
      <c r="N124" s="2" t="inlineStr">
        <is>
          <t>100%</t>
        </is>
      </c>
      <c r="O124" s="2" t="inlineStr">
        <is>
          <t>57.2%</t>
        </is>
      </c>
      <c r="P124" s="2" t="n">
        <v>40405.0</v>
      </c>
      <c r="Q124" s="2" t="n">
        <v>6033.0</v>
      </c>
      <c r="R124" s="2" t="n">
        <v>9460.0</v>
      </c>
      <c r="S124" s="2" t="inlineStr">
        <is>
          <t>3.29%</t>
        </is>
      </c>
      <c r="T124" s="2" t="inlineStr">
        <is>
          <t>1.9%</t>
        </is>
      </c>
      <c r="U124" s="2" t="inlineStr">
        <is>
          <t>0.76%</t>
        </is>
      </c>
      <c r="V124" s="2"/>
      <c r="W124" s="2" t="inlineStr">
        <is>
          <t>0₽</t>
        </is>
      </c>
      <c r="X124" s="2" t="n">
        <v>1.0</v>
      </c>
      <c r="Y124" s="2"/>
      <c r="Z124" s="2"/>
      <c r="AA124" s="3" t="inlineStr">
        <is>
          <t>2026-05-26
&lt; 1 个月</t>
        </is>
      </c>
      <c r="AB124" s="2" t="inlineStr">
        <is>
          <t>630 g</t>
        </is>
      </c>
      <c r="AC124" s="2" t="inlineStr">
        <is>
          <t>1.2 L</t>
        </is>
      </c>
      <c r="AD124" s="2" t="inlineStr">
        <is>
          <t>REDMAGIC Official Store</t>
        </is>
      </c>
      <c r="AE124" s="2" t="inlineStr">
        <is>
          <t>跨境卖家</t>
        </is>
      </c>
      <c r="AF124" s="2" t="inlineStr">
        <is>
          <t>RFBS</t>
        </is>
      </c>
      <c r="AG124" s="2" t="n">
        <v>0.0</v>
      </c>
    </row>
    <row r="125" customHeight="true" ht="64.0">
      <c r="A125" s="2" t="n">
        <v>124.0</v>
      </c>
      <c r="B125" s="2" t="inlineStr">
        <is>
          <t>https://ir.ozone.ru/s3/multimedia-1-q/wc300/9519482582.jpg</t>
        </is>
      </c>
      <c r="C125" s="2" t="n">
        <f>IF(ISERROR(IMAGE("https://ir.ozone.ru/s3/multimedia-1-q/wc300/9519482582.jpg")),"请使用新版Excel2024查看图片",IMAGE("https://ir.ozone.ru/s3/multimedia-1-q/wc300/9519482582.jpg"))</f>
        <v>0.0</v>
      </c>
      <c r="D125" s="2" t="inlineStr">
        <is>
          <t>Наушники беспроводные с микрофоном Technics EAH-AZ100, Bluetooth, USB Type-C, серебристый</t>
        </is>
      </c>
      <c r="E125" s="2" t="inlineStr">
        <is>
          <t>https://www.ozon.ru/product/4382311495</t>
        </is>
      </c>
      <c r="F125" s="2" t="n">
        <v>4.382311495E9</v>
      </c>
      <c r="G125" s="2" t="inlineStr">
        <is>
          <t/>
        </is>
      </c>
      <c r="H125" s="3" t="inlineStr">
        <is>
          <t>耳机
Наушники</t>
        </is>
      </c>
      <c r="I125" s="3" t="inlineStr">
        <is>
          <t>跨境卖家可售</t>
        </is>
      </c>
      <c r="J125" s="2" t="inlineStr">
        <is>
          <t>20477₽</t>
        </is>
      </c>
      <c r="K125" s="2" t="n">
        <v>19.0</v>
      </c>
      <c r="L125" s="2" t="inlineStr">
        <is>
          <t>367659₽</t>
        </is>
      </c>
      <c r="M125" s="2" t="inlineStr">
        <is>
          <t>100%</t>
        </is>
      </c>
      <c r="N125" s="2" t="inlineStr">
        <is>
          <t>100%</t>
        </is>
      </c>
      <c r="O125" s="2" t="inlineStr">
        <is>
          <t>48%</t>
        </is>
      </c>
      <c r="P125" s="2" t="n">
        <v>5011.0</v>
      </c>
      <c r="Q125" s="2" t="n">
        <v>654.0</v>
      </c>
      <c r="R125" s="2" t="n">
        <v>1246.0</v>
      </c>
      <c r="S125" s="2" t="inlineStr">
        <is>
          <t>5.77%</t>
        </is>
      </c>
      <c r="T125" s="2" t="inlineStr">
        <is>
          <t>26.4%</t>
        </is>
      </c>
      <c r="U125" s="2" t="inlineStr">
        <is>
          <t>0.0%</t>
        </is>
      </c>
      <c r="V125" s="2"/>
      <c r="W125" s="2" t="inlineStr">
        <is>
          <t>0₽</t>
        </is>
      </c>
      <c r="X125" s="2" t="n">
        <v>2.0</v>
      </c>
      <c r="Y125" s="2" t="n">
        <v>11.0</v>
      </c>
      <c r="Z125" s="2" t="inlineStr">
        <is>
          <t>5.0</t>
        </is>
      </c>
      <c r="AA125" s="3" t="inlineStr">
        <is>
          <t>2026-05-20
&lt; 1 个月</t>
        </is>
      </c>
      <c r="AB125" s="2" t="inlineStr">
        <is>
          <t>300 g</t>
        </is>
      </c>
      <c r="AC125" s="2" t="inlineStr">
        <is>
          <t>3 L</t>
        </is>
      </c>
      <c r="AD125" s="2" t="inlineStr">
        <is>
          <t>qingshantongxun</t>
        </is>
      </c>
      <c r="AE125" s="2" t="inlineStr">
        <is>
          <t>跨境卖家</t>
        </is>
      </c>
      <c r="AF125" s="2" t="inlineStr">
        <is>
          <t>RFBS</t>
        </is>
      </c>
      <c r="AG125" s="2" t="n">
        <v>10.0</v>
      </c>
    </row>
    <row r="126" customHeight="true" ht="64.0">
      <c r="A126" s="2" t="n">
        <v>125.0</v>
      </c>
      <c r="B126" s="2" t="inlineStr">
        <is>
          <t>https://ir.ozone.ru/s3/multimedia-1-5/wc300/10598812529.jpg</t>
        </is>
      </c>
      <c r="C126" s="2" t="n">
        <f>IF(ISERROR(IMAGE("https://ir.ozone.ru/s3/multimedia-1-5/wc300/10598812529.jpg")),"请使用新版Excel2024查看图片",IMAGE("https://ir.ozone.ru/s3/multimedia-1-5/wc300/10598812529.jpg"))</f>
        <v>0.0</v>
      </c>
      <c r="D126" s="2" t="inlineStr">
        <is>
          <t>Сетка садовая,30х1.5м</t>
        </is>
      </c>
      <c r="E126" s="2" t="inlineStr">
        <is>
          <t>https://www.ozon.ru/product/4367558375</t>
        </is>
      </c>
      <c r="F126" s="2" t="n">
        <v>4.367558375E9</v>
      </c>
      <c r="G126" s="2" t="inlineStr">
        <is>
          <t/>
        </is>
      </c>
      <c r="H126" s="3" t="inlineStr">
        <is>
          <t>花园网
Сетка садовая</t>
        </is>
      </c>
      <c r="I126" s="3" t="inlineStr">
        <is>
          <t>跨境卖家可售</t>
        </is>
      </c>
      <c r="J126" s="2" t="inlineStr">
        <is>
          <t>4825₽</t>
        </is>
      </c>
      <c r="K126" s="2" t="n">
        <v>85.0</v>
      </c>
      <c r="L126" s="2" t="inlineStr">
        <is>
          <t>367623₽</t>
        </is>
      </c>
      <c r="M126" s="2" t="inlineStr">
        <is>
          <t>100%</t>
        </is>
      </c>
      <c r="N126" s="2" t="inlineStr">
        <is>
          <t>100%</t>
        </is>
      </c>
      <c r="O126" s="2" t="inlineStr">
        <is>
          <t>53%</t>
        </is>
      </c>
      <c r="P126" s="2" t="n">
        <v>50901.0</v>
      </c>
      <c r="Q126" s="2" t="n">
        <v>19530.0</v>
      </c>
      <c r="R126" s="2" t="n">
        <v>5778.0</v>
      </c>
      <c r="S126" s="2" t="inlineStr">
        <is>
          <t>9.32%</t>
        </is>
      </c>
      <c r="T126" s="2" t="inlineStr">
        <is>
          <t>15.8%</t>
        </is>
      </c>
      <c r="U126" s="2" t="inlineStr">
        <is>
          <t>2.82%</t>
        </is>
      </c>
      <c r="V126" s="2"/>
      <c r="W126" s="2" t="inlineStr">
        <is>
          <t>0₽</t>
        </is>
      </c>
      <c r="X126" s="2" t="n">
        <v>1.0</v>
      </c>
      <c r="Y126" s="2"/>
      <c r="Z126" s="2"/>
      <c r="AA126" s="3" t="inlineStr">
        <is>
          <t>2026-05-19
&lt; 1 个月</t>
        </is>
      </c>
      <c r="AB126" s="2" t="inlineStr">
        <is>
          <t>6500 g</t>
        </is>
      </c>
      <c r="AC126" s="2" t="inlineStr">
        <is>
          <t>33.75 L</t>
        </is>
      </c>
      <c r="AD126" s="2" t="inlineStr">
        <is>
          <t>ZhouZhou</t>
        </is>
      </c>
      <c r="AE126" s="2" t="inlineStr">
        <is>
          <t>跨境卖家</t>
        </is>
      </c>
      <c r="AF126" s="2" t="inlineStr">
        <is>
          <t>RFBS</t>
        </is>
      </c>
      <c r="AG126" s="2" t="n">
        <v>8.0</v>
      </c>
    </row>
    <row r="127" customHeight="true" ht="64.0">
      <c r="A127" s="2" t="n">
        <v>126.0</v>
      </c>
      <c r="B127" s="2" t="inlineStr">
        <is>
          <t>https://ir.ozone.ru/s3/multimedia-1-l/wc300/10618320549.jpg</t>
        </is>
      </c>
      <c r="C127" s="2" t="n">
        <f>IF(ISERROR(IMAGE("https://ir.ozone.ru/s3/multimedia-1-l/wc300/10618320549.jpg")),"请使用新版Excel2024查看图片",IMAGE("https://ir.ozone.ru/s3/multimedia-1-l/wc300/10618320549.jpg"))</f>
        <v>0.0</v>
      </c>
      <c r="D127" s="2" t="inlineStr">
        <is>
          <t>русский LOWRANCE (Eagle) Орел 9 TripleShot HD+Защитная гидрогелевая пленка</t>
        </is>
      </c>
      <c r="E127" s="2" t="inlineStr">
        <is>
          <t>https://www.ozon.ru/product/4381281000</t>
        </is>
      </c>
      <c r="F127" s="2" t="n">
        <v>4.381281E9</v>
      </c>
      <c r="G127" s="2" t="inlineStr">
        <is>
          <t>Lowrance</t>
        </is>
      </c>
      <c r="H127" s="3" t="inlineStr">
        <is>
          <t>垂钓配件与装备
Аксессуары и оснастка для рыбалки</t>
        </is>
      </c>
      <c r="I127" s="3" t="inlineStr">
        <is>
          <t>跨境卖家可售</t>
        </is>
      </c>
      <c r="J127" s="2" t="inlineStr">
        <is>
          <t>52329₽</t>
        </is>
      </c>
      <c r="K127" s="2" t="n">
        <v>7.0</v>
      </c>
      <c r="L127" s="2" t="inlineStr">
        <is>
          <t>365539₽</t>
        </is>
      </c>
      <c r="M127" s="2" t="inlineStr">
        <is>
          <t>100%</t>
        </is>
      </c>
      <c r="N127" s="2" t="inlineStr">
        <is>
          <t>100%</t>
        </is>
      </c>
      <c r="O127" s="2" t="inlineStr">
        <is>
          <t>49.6%</t>
        </is>
      </c>
      <c r="P127" s="2" t="n">
        <v>4944.0</v>
      </c>
      <c r="Q127" s="2" t="n">
        <v>621.0</v>
      </c>
      <c r="R127" s="2" t="n">
        <v>806.0</v>
      </c>
      <c r="S127" s="2" t="inlineStr">
        <is>
          <t>6.69%</t>
        </is>
      </c>
      <c r="T127" s="2" t="inlineStr">
        <is>
          <t>13.0%</t>
        </is>
      </c>
      <c r="U127" s="2" t="inlineStr">
        <is>
          <t>0.0%</t>
        </is>
      </c>
      <c r="V127" s="2"/>
      <c r="W127" s="2" t="inlineStr">
        <is>
          <t>0₽</t>
        </is>
      </c>
      <c r="X127" s="2" t="n">
        <v>1.0</v>
      </c>
      <c r="Y127" s="2"/>
      <c r="Z127" s="2"/>
      <c r="AA127" s="3" t="inlineStr">
        <is>
          <t>2026-05-20
&lt; 1 个月</t>
        </is>
      </c>
      <c r="AB127" s="2" t="inlineStr">
        <is>
          <t>3050 g</t>
        </is>
      </c>
      <c r="AC127" s="2" t="inlineStr">
        <is>
          <t>22.94 L</t>
        </is>
      </c>
      <c r="AD127" s="2" t="inlineStr">
        <is>
          <t>Рыболокатор Молл</t>
        </is>
      </c>
      <c r="AE127" s="2" t="inlineStr">
        <is>
          <t>跨境卖家</t>
        </is>
      </c>
      <c r="AF127" s="2" t="inlineStr">
        <is>
          <t>RFBS</t>
        </is>
      </c>
      <c r="AG127" s="2" t="n">
        <v>5.0</v>
      </c>
    </row>
    <row r="128" customHeight="true" ht="64.0">
      <c r="A128" s="2" t="n">
        <v>127.0</v>
      </c>
      <c r="B128" s="2" t="inlineStr">
        <is>
          <t>https://ir.ozone.ru/s3/multimedia-1-q/wc300/11143627370.jpg</t>
        </is>
      </c>
      <c r="C128" s="2" t="n">
        <f>IF(ISERROR(IMAGE("https://ir.ozone.ru/s3/multimedia-1-q/wc300/11143627370.jpg")),"请使用新版Excel2024查看图片",IMAGE("https://ir.ozone.ru/s3/multimedia-1-q/wc300/11143627370.jpg"))</f>
        <v>0.0</v>
      </c>
      <c r="D128" s="2" t="inlineStr">
        <is>
          <t>Xiaomi Робот-пылесос Mijia Robot Vacuum 6 Max, PV11CN, воздуходувка 35000 Па, Автоматическая очистка основания, Высота преодолеваемого препятствия 60 мм,  Препятствие для панорамного распознавания с помощью трех камер искусственного интеллекта, серый металлик</t>
        </is>
      </c>
      <c r="E128" s="2" t="inlineStr">
        <is>
          <t>https://www.ozon.ru/product/4436228871</t>
        </is>
      </c>
      <c r="F128" s="2" t="n">
        <v>4.436228871E9</v>
      </c>
      <c r="G128" s="2" t="inlineStr">
        <is>
          <t>Xiaomi</t>
        </is>
      </c>
      <c r="H128" s="3" t="inlineStr">
        <is>
          <t>扫地机器人
Робот-пылесос</t>
        </is>
      </c>
      <c r="I128" s="3" t="inlineStr">
        <is>
          <t>跨境卖家可售</t>
        </is>
      </c>
      <c r="J128" s="2" t="inlineStr">
        <is>
          <t>52200₽</t>
        </is>
      </c>
      <c r="K128" s="2" t="n">
        <v>7.0</v>
      </c>
      <c r="L128" s="2" t="inlineStr">
        <is>
          <t>365400₽</t>
        </is>
      </c>
      <c r="M128" s="2" t="inlineStr">
        <is>
          <t>100%</t>
        </is>
      </c>
      <c r="N128" s="2" t="inlineStr">
        <is>
          <t>100%</t>
        </is>
      </c>
      <c r="O128" s="2" t="inlineStr">
        <is>
          <t>58.6%</t>
        </is>
      </c>
      <c r="P128" s="2" t="n">
        <v>4475.0</v>
      </c>
      <c r="Q128" s="2" t="n">
        <v>545.0</v>
      </c>
      <c r="R128" s="2" t="n">
        <v>894.0</v>
      </c>
      <c r="S128" s="2" t="inlineStr">
        <is>
          <t>5.25%</t>
        </is>
      </c>
      <c r="T128" s="2" t="inlineStr">
        <is>
          <t>23.4%</t>
        </is>
      </c>
      <c r="U128" s="2" t="inlineStr">
        <is>
          <t>0.0%</t>
        </is>
      </c>
      <c r="V128" s="2"/>
      <c r="W128" s="2" t="inlineStr">
        <is>
          <t>0₽</t>
        </is>
      </c>
      <c r="X128" s="2" t="n">
        <v>7.0</v>
      </c>
      <c r="Y128" s="2" t="n">
        <v>239.0</v>
      </c>
      <c r="Z128" s="2" t="inlineStr">
        <is>
          <t>4.9</t>
        </is>
      </c>
      <c r="AA128" s="3" t="inlineStr">
        <is>
          <t>2026-05-25
&lt; 1 个月</t>
        </is>
      </c>
      <c r="AB128" s="2" t="inlineStr">
        <is>
          <t>15200 g</t>
        </is>
      </c>
      <c r="AC128" s="2" t="inlineStr">
        <is>
          <t>129.747 L</t>
        </is>
      </c>
      <c r="AD128" s="2" t="inlineStr">
        <is>
          <t>ЦифроГрад</t>
        </is>
      </c>
      <c r="AE128" s="2" t="inlineStr">
        <is>
          <t>跨境卖家</t>
        </is>
      </c>
      <c r="AF128" s="2" t="inlineStr">
        <is>
          <t>RFBS</t>
        </is>
      </c>
      <c r="AG128" s="2" t="n">
        <v>57.0</v>
      </c>
    </row>
    <row r="129" customHeight="true" ht="64.0">
      <c r="A129" s="2" t="n">
        <v>128.0</v>
      </c>
      <c r="B129" s="2" t="inlineStr">
        <is>
          <t>https://ir.ozone.ru/s3/multimedia-1-u/wc300/10789121694.jpg</t>
        </is>
      </c>
      <c r="C129" s="2" t="n">
        <f>IF(ISERROR(IMAGE("https://ir.ozone.ru/s3/multimedia-1-u/wc300/10789121694.jpg")),"请使用新版Excel2024查看图片",IMAGE("https://ir.ozone.ru/s3/multimedia-1-u/wc300/10789121694.jpg"))</f>
        <v>0.0</v>
      </c>
      <c r="D129" s="2" t="inlineStr">
        <is>
          <t>Саундбар для телевизора HW-Q990F/RU, 11.1.4 с сабвуфером и тыловыми колонками, Atmos, Game Mode, Автокалибровка</t>
        </is>
      </c>
      <c r="E129" s="2" t="inlineStr">
        <is>
          <t>https://www.ozon.ru/product/4437311373</t>
        </is>
      </c>
      <c r="F129" s="2" t="n">
        <v>4.437311373E9</v>
      </c>
      <c r="G129" s="2" t="inlineStr">
        <is>
          <t/>
        </is>
      </c>
      <c r="H129" s="3" t="inlineStr">
        <is>
          <t>回音壁
Саундбар</t>
        </is>
      </c>
      <c r="I129" s="3" t="inlineStr">
        <is>
          <t>跨境卖家可售</t>
        </is>
      </c>
      <c r="J129" s="2" t="inlineStr">
        <is>
          <t>72810₽</t>
        </is>
      </c>
      <c r="K129" s="2" t="n">
        <v>5.0</v>
      </c>
      <c r="L129" s="2" t="inlineStr">
        <is>
          <t>364050₽</t>
        </is>
      </c>
      <c r="M129" s="2" t="inlineStr">
        <is>
          <t>100%</t>
        </is>
      </c>
      <c r="N129" s="2" t="inlineStr">
        <is>
          <t>100%</t>
        </is>
      </c>
      <c r="O129" s="2" t="inlineStr">
        <is>
          <t/>
        </is>
      </c>
      <c r="P129" s="2" t="n">
        <v>469.0</v>
      </c>
      <c r="Q129" s="2" t="n">
        <v>63.0</v>
      </c>
      <c r="R129" s="2" t="n">
        <v>146.0</v>
      </c>
      <c r="S129" s="2" t="inlineStr">
        <is>
          <t>5.47%</t>
        </is>
      </c>
      <c r="T129" s="2" t="inlineStr">
        <is>
          <t>62.5%</t>
        </is>
      </c>
      <c r="U129" s="2" t="inlineStr">
        <is>
          <t>0.0%</t>
        </is>
      </c>
      <c r="V129" s="2"/>
      <c r="W129" s="2" t="inlineStr">
        <is>
          <t>0₽</t>
        </is>
      </c>
      <c r="X129" s="2" t="n">
        <v>1.0</v>
      </c>
      <c r="Y129" s="2"/>
      <c r="Z129" s="2"/>
      <c r="AA129" s="3" t="inlineStr">
        <is>
          <t>2026-05-25
&lt; 1 个月</t>
        </is>
      </c>
      <c r="AB129" s="2" t="inlineStr">
        <is>
          <t/>
        </is>
      </c>
      <c r="AC129" s="2" t="inlineStr">
        <is>
          <t/>
        </is>
      </c>
      <c r="AD129" s="2" t="inlineStr">
        <is>
          <t>Guiyang Hua Yi Mei Trading Co., Ltd.</t>
        </is>
      </c>
      <c r="AE129" s="2" t="inlineStr">
        <is>
          <t>跨境卖家</t>
        </is>
      </c>
      <c r="AF129" s="2" t="inlineStr">
        <is>
          <t>RFBS</t>
        </is>
      </c>
      <c r="AG129" s="2" t="n">
        <v>0.0</v>
      </c>
    </row>
    <row r="130" customHeight="true" ht="64.0">
      <c r="A130" s="2" t="n">
        <v>129.0</v>
      </c>
      <c r="B130" s="2" t="inlineStr">
        <is>
          <t>https://ir.ozone.ru/s3/multimedia-1-w/wc300/11177132396.jpg</t>
        </is>
      </c>
      <c r="C130" s="2" t="n">
        <f>IF(ISERROR(IMAGE("https://ir.ozone.ru/s3/multimedia-1-w/wc300/11177132396.jpg")),"请使用新版Excel2024查看图片",IMAGE("https://ir.ozone.ru/s3/multimedia-1-w/wc300/11177132396.jpg"))</f>
        <v>0.0</v>
      </c>
      <c r="D130" s="2" t="inlineStr">
        <is>
          <t>AMS 2 pro bambu lab, Автоматическая система подачи филамента, многокрасочная 3D печать, совместима с X1/P1</t>
        </is>
      </c>
      <c r="E130" s="2" t="inlineStr">
        <is>
          <t>https://www.ozon.ru/product/4348804973</t>
        </is>
      </c>
      <c r="F130" s="2" t="n">
        <v>4.348804973E9</v>
      </c>
      <c r="G130" s="2" t="inlineStr">
        <is>
          <t/>
        </is>
      </c>
      <c r="H130" s="3" t="inlineStr">
        <is>
          <t>3D打印笔配件
Аксессуар для 3D-ручки</t>
        </is>
      </c>
      <c r="I130" s="3" t="inlineStr">
        <is>
          <t>跨境卖家可售</t>
        </is>
      </c>
      <c r="J130" s="2" t="inlineStr">
        <is>
          <t>18763₽</t>
        </is>
      </c>
      <c r="K130" s="2" t="n">
        <v>20.0</v>
      </c>
      <c r="L130" s="2" t="inlineStr">
        <is>
          <t>363226₽</t>
        </is>
      </c>
      <c r="M130" s="2" t="inlineStr">
        <is>
          <t>100%</t>
        </is>
      </c>
      <c r="N130" s="2" t="inlineStr">
        <is>
          <t>100%</t>
        </is>
      </c>
      <c r="O130" s="2" t="inlineStr">
        <is>
          <t>51.9%</t>
        </is>
      </c>
      <c r="P130" s="2" t="n">
        <v>3105.0</v>
      </c>
      <c r="Q130" s="2" t="n">
        <v>223.0</v>
      </c>
      <c r="R130" s="2" t="n">
        <v>1057.0</v>
      </c>
      <c r="S130" s="2" t="inlineStr">
        <is>
          <t>3.68%</t>
        </is>
      </c>
      <c r="T130" s="2" t="inlineStr">
        <is>
          <t>51.3%</t>
        </is>
      </c>
      <c r="U130" s="2" t="inlineStr">
        <is>
          <t>0.0%</t>
        </is>
      </c>
      <c r="V130" s="2"/>
      <c r="W130" s="2" t="inlineStr">
        <is>
          <t>0₽</t>
        </is>
      </c>
      <c r="X130" s="2" t="n">
        <v>2.0</v>
      </c>
      <c r="Y130" s="2"/>
      <c r="Z130" s="2"/>
      <c r="AA130" s="3" t="inlineStr">
        <is>
          <t>2026-05-18
&lt; 1 个月</t>
        </is>
      </c>
      <c r="AB130" s="2" t="inlineStr">
        <is>
          <t>3700 g</t>
        </is>
      </c>
      <c r="AC130" s="2" t="inlineStr">
        <is>
          <t>49.523 L</t>
        </is>
      </c>
      <c r="AD130" s="2" t="inlineStr">
        <is>
          <t>meirong</t>
        </is>
      </c>
      <c r="AE130" s="2" t="inlineStr">
        <is>
          <t>跨境卖家</t>
        </is>
      </c>
      <c r="AF130" s="2" t="inlineStr">
        <is>
          <t>RFBS</t>
        </is>
      </c>
      <c r="AG130" s="2" t="n">
        <v>3.0</v>
      </c>
    </row>
    <row r="131" customHeight="true" ht="64.0">
      <c r="A131" s="2" t="n">
        <v>130.0</v>
      </c>
      <c r="B131" s="2" t="inlineStr">
        <is>
          <t>https://ir.ozone.ru/s3/multimedia-1-n/wc300/11111544095.jpg</t>
        </is>
      </c>
      <c r="C131" s="2" t="n">
        <f>IF(ISERROR(IMAGE("https://ir.ozone.ru/s3/multimedia-1-n/wc300/11111544095.jpg")),"请使用新版Excel2024查看图片",IMAGE("https://ir.ozone.ru/s3/multimedia-1-n/wc300/11111544095.jpg"))</f>
        <v>0.0</v>
      </c>
      <c r="D131" s="2" t="inlineStr">
        <is>
          <t>Xiaomi Смартфон 17T  Pro Global 12/512 ГБ, Nano-SIM, eSIM, темно-синий</t>
        </is>
      </c>
      <c r="E131" s="2" t="inlineStr">
        <is>
          <t>https://www.ozon.ru/product/4438103736</t>
        </is>
      </c>
      <c r="F131" s="2" t="n">
        <v>4.438103736E9</v>
      </c>
      <c r="G131" s="2" t="inlineStr">
        <is>
          <t>Xiaomi</t>
        </is>
      </c>
      <c r="H131" s="3" t="inlineStr">
        <is>
          <t>智能手机
Смартфон</t>
        </is>
      </c>
      <c r="I131" s="3" t="inlineStr">
        <is>
          <t>跨境卖家可售</t>
        </is>
      </c>
      <c r="J131" s="2" t="inlineStr">
        <is>
          <t>59829₽</t>
        </is>
      </c>
      <c r="K131" s="2" t="n">
        <v>6.0</v>
      </c>
      <c r="L131" s="2" t="inlineStr">
        <is>
          <t>362487₽</t>
        </is>
      </c>
      <c r="M131" s="2" t="inlineStr">
        <is>
          <t>100%</t>
        </is>
      </c>
      <c r="N131" s="2" t="inlineStr">
        <is>
          <t>100%</t>
        </is>
      </c>
      <c r="O131" s="2" t="inlineStr">
        <is>
          <t>57.2%</t>
        </is>
      </c>
      <c r="P131" s="2" t="n">
        <v>178994.0</v>
      </c>
      <c r="Q131" s="2" t="n">
        <v>90407.0</v>
      </c>
      <c r="R131" s="2" t="n">
        <v>19002.0</v>
      </c>
      <c r="S131" s="2" t="inlineStr">
        <is>
          <t>3.68%</t>
        </is>
      </c>
      <c r="T131" s="2" t="inlineStr">
        <is>
          <t>0.9%</t>
        </is>
      </c>
      <c r="U131" s="2" t="inlineStr">
        <is>
          <t>27.62%</t>
        </is>
      </c>
      <c r="V131" s="2"/>
      <c r="W131" s="2" t="inlineStr">
        <is>
          <t>0₽</t>
        </is>
      </c>
      <c r="X131" s="2" t="n">
        <v>1.0</v>
      </c>
      <c r="Y131" s="2"/>
      <c r="Z131" s="2"/>
      <c r="AA131" s="3" t="inlineStr">
        <is>
          <t>2026-05-25
&lt; 1 个月</t>
        </is>
      </c>
      <c r="AB131" s="2" t="inlineStr">
        <is>
          <t>512 g</t>
        </is>
      </c>
      <c r="AC131" s="2" t="inlineStr">
        <is>
          <t>1.11 L</t>
        </is>
      </c>
      <c r="AD131" s="2" t="inlineStr">
        <is>
          <t>AE Dubai Freezone Official</t>
        </is>
      </c>
      <c r="AE131" s="2" t="inlineStr">
        <is>
          <t>跨境卖家</t>
        </is>
      </c>
      <c r="AF131" s="2" t="inlineStr">
        <is>
          <t>RFBS</t>
        </is>
      </c>
      <c r="AG131" s="2" t="n">
        <v>0.0</v>
      </c>
    </row>
    <row r="132" customHeight="true" ht="64.0">
      <c r="A132" s="2" t="n">
        <v>131.0</v>
      </c>
      <c r="B132" s="2" t="inlineStr">
        <is>
          <t>https://ir.ozone.ru/s3/multimedia-1-a/wc300/10874061262.jpg</t>
        </is>
      </c>
      <c r="C132" s="2" t="n">
        <f>IF(ISERROR(IMAGE("https://ir.ozone.ru/s3/multimedia-1-a/wc300/10874061262.jpg")),"请使用新版Excel2024查看图片",IMAGE("https://ir.ozone.ru/s3/multimedia-1-a/wc300/10874061262.jpg"))</f>
        <v>0.0</v>
      </c>
      <c r="D132" s="2" t="inlineStr">
        <is>
          <t>Велосипед Городской, Шоссейный, BWM</t>
        </is>
      </c>
      <c r="E132" s="2" t="inlineStr">
        <is>
          <t>https://www.ozon.ru/product/4450191284</t>
        </is>
      </c>
      <c r="F132" s="2" t="n">
        <v>4.450191284E9</v>
      </c>
      <c r="G132" s="2" t="inlineStr">
        <is>
          <t/>
        </is>
      </c>
      <c r="H132" s="3" t="inlineStr">
        <is>
          <t>自行车
Велосипед</t>
        </is>
      </c>
      <c r="I132" s="3" t="inlineStr">
        <is>
          <t>跨境卖家可售</t>
        </is>
      </c>
      <c r="J132" s="2" t="inlineStr">
        <is>
          <t>12385₽</t>
        </is>
      </c>
      <c r="K132" s="2" t="n">
        <v>29.0</v>
      </c>
      <c r="L132" s="2" t="inlineStr">
        <is>
          <t>359138₽</t>
        </is>
      </c>
      <c r="M132" s="2" t="inlineStr">
        <is>
          <t>100%</t>
        </is>
      </c>
      <c r="N132" s="2" t="inlineStr">
        <is>
          <t>100%</t>
        </is>
      </c>
      <c r="O132" s="2" t="inlineStr">
        <is>
          <t>48.4%</t>
        </is>
      </c>
      <c r="P132" s="2" t="n">
        <v>15105.0</v>
      </c>
      <c r="Q132" s="2" t="n">
        <v>729.0</v>
      </c>
      <c r="R132" s="2" t="n">
        <v>9577.0</v>
      </c>
      <c r="S132" s="2" t="inlineStr">
        <is>
          <t>3.12%</t>
        </is>
      </c>
      <c r="T132" s="2" t="inlineStr">
        <is>
          <t>9.7%</t>
        </is>
      </c>
      <c r="U132" s="2" t="inlineStr">
        <is>
          <t>0.0%</t>
        </is>
      </c>
      <c r="V132" s="2"/>
      <c r="W132" s="2" t="inlineStr">
        <is>
          <t>0₽</t>
        </is>
      </c>
      <c r="X132" s="2" t="n">
        <v>7.0</v>
      </c>
      <c r="Y132" s="2" t="n">
        <v>15.0</v>
      </c>
      <c r="Z132" s="2"/>
      <c r="AA132" s="3" t="inlineStr">
        <is>
          <t>2026-05-26
&lt; 1 个月</t>
        </is>
      </c>
      <c r="AB132" s="2" t="inlineStr">
        <is>
          <t>19000 g</t>
        </is>
      </c>
      <c r="AC132" s="2" t="inlineStr">
        <is>
          <t>195.84 L</t>
        </is>
      </c>
      <c r="AD132" s="2" t="inlineStr">
        <is>
          <t>Будущий Базар</t>
        </is>
      </c>
      <c r="AE132" s="2" t="inlineStr">
        <is>
          <t>跨境卖家</t>
        </is>
      </c>
      <c r="AF132" s="2" t="inlineStr">
        <is>
          <t>RFBS</t>
        </is>
      </c>
      <c r="AG132" s="2" t="n">
        <v>40.0</v>
      </c>
    </row>
    <row r="133" customHeight="true" ht="64.0">
      <c r="A133" s="2" t="n">
        <v>132.0</v>
      </c>
      <c r="B133" s="2" t="inlineStr">
        <is>
          <t>https://ir.ozone.ru/s3/multimedia-1-v/wc300/10918223995.jpg</t>
        </is>
      </c>
      <c r="C133" s="2" t="n">
        <f>IF(ISERROR(IMAGE("https://ir.ozone.ru/s3/multimedia-1-v/wc300/10918223995.jpg")),"请使用新版Excel2024查看图片",IMAGE("https://ir.ozone.ru/s3/multimedia-1-v/wc300/10918223995.jpg"))</f>
        <v>0.0</v>
      </c>
      <c r="D133" s="2" t="inlineStr">
        <is>
          <t>Высококачественный панорамный акустический усилитель Yamaha RX- V6A 7.2 Канал 8 KHDMI 2.1 Домашний кинотеатр</t>
        </is>
      </c>
      <c r="E133" s="2" t="inlineStr">
        <is>
          <t>https://www.ozon.ru/product/4453373827</t>
        </is>
      </c>
      <c r="F133" s="2" t="n">
        <v>4.453373827E9</v>
      </c>
      <c r="G133" s="2" t="inlineStr">
        <is>
          <t/>
        </is>
      </c>
      <c r="H133" s="3" t="inlineStr">
        <is>
          <t>家庭影院
Домашний кинотеатр</t>
        </is>
      </c>
      <c r="I133" s="3" t="inlineStr">
        <is>
          <t>跨境卖家可售</t>
        </is>
      </c>
      <c r="J133" s="2" t="inlineStr">
        <is>
          <t>71603₽</t>
        </is>
      </c>
      <c r="K133" s="2" t="n">
        <v>5.0</v>
      </c>
      <c r="L133" s="2" t="inlineStr">
        <is>
          <t>358015₽</t>
        </is>
      </c>
      <c r="M133" s="2" t="inlineStr">
        <is>
          <t>100%</t>
        </is>
      </c>
      <c r="N133" s="2" t="inlineStr">
        <is>
          <t>100%</t>
        </is>
      </c>
      <c r="O133" s="2" t="inlineStr">
        <is>
          <t>54.2%</t>
        </is>
      </c>
      <c r="P133" s="2" t="n">
        <v>1028.0</v>
      </c>
      <c r="Q133" s="2" t="n">
        <v>246.0</v>
      </c>
      <c r="R133" s="2" t="n">
        <v>333.0</v>
      </c>
      <c r="S133" s="2" t="inlineStr">
        <is>
          <t>5.4%</t>
        </is>
      </c>
      <c r="T133" s="2" t="inlineStr">
        <is>
          <t>27.8%</t>
        </is>
      </c>
      <c r="U133" s="2" t="inlineStr">
        <is>
          <t>0.0%</t>
        </is>
      </c>
      <c r="V133" s="2"/>
      <c r="W133" s="2" t="inlineStr">
        <is>
          <t>0₽</t>
        </is>
      </c>
      <c r="X133" s="2" t="n">
        <v>1.0</v>
      </c>
      <c r="Y133" s="2"/>
      <c r="Z133" s="2"/>
      <c r="AA133" s="3" t="inlineStr">
        <is>
          <t>2026-05-26
&lt; 1 个月</t>
        </is>
      </c>
      <c r="AB133" s="2" t="inlineStr">
        <is>
          <t>11000 g</t>
        </is>
      </c>
      <c r="AC133" s="2" t="inlineStr">
        <is>
          <t>24 L</t>
        </is>
      </c>
      <c r="AD133" s="2" t="inlineStr">
        <is>
          <t>завтра</t>
        </is>
      </c>
      <c r="AE133" s="2" t="inlineStr">
        <is>
          <t>跨境卖家</t>
        </is>
      </c>
      <c r="AF133" s="2" t="inlineStr">
        <is>
          <t>RFBS</t>
        </is>
      </c>
      <c r="AG133" s="2" t="n">
        <v>8.0</v>
      </c>
    </row>
    <row r="134" customHeight="true" ht="64.0">
      <c r="A134" s="2" t="n">
        <v>133.0</v>
      </c>
      <c r="B134" s="2" t="inlineStr">
        <is>
          <t>https://ir.ozone.ru/s3/multimedia-1-9/wc300/10988751825.jpg</t>
        </is>
      </c>
      <c r="C134" s="2" t="n">
        <f>IF(ISERROR(IMAGE("https://ir.ozone.ru/s3/multimedia-1-9/wc300/10988751825.jpg")),"请使用新版Excel2024查看图片",IMAGE("https://ir.ozone.ru/s3/multimedia-1-9/wc300/10988751825.jpg"))</f>
        <v>0.0</v>
      </c>
      <c r="D134" s="2" t="inlineStr">
        <is>
          <t>3D-принтер Snapmaker U1 (международная версия)</t>
        </is>
      </c>
      <c r="E134" s="2" t="inlineStr">
        <is>
          <t>https://www.ozon.ru/product/4519375887</t>
        </is>
      </c>
      <c r="F134" s="2" t="n">
        <v>4.519375887E9</v>
      </c>
      <c r="G134" s="2" t="inlineStr">
        <is>
          <t/>
        </is>
      </c>
      <c r="H134" s="3" t="inlineStr">
        <is>
          <t>复印机
Копировальный аппарат</t>
        </is>
      </c>
      <c r="I134" s="3" t="inlineStr">
        <is>
          <t>跨境卖家可售</t>
        </is>
      </c>
      <c r="J134" s="2" t="inlineStr">
        <is>
          <t>59406₽</t>
        </is>
      </c>
      <c r="K134" s="2" t="n">
        <v>6.0</v>
      </c>
      <c r="L134" s="2" t="inlineStr">
        <is>
          <t>356436₽</t>
        </is>
      </c>
      <c r="M134" s="2" t="inlineStr">
        <is>
          <t>100%</t>
        </is>
      </c>
      <c r="N134" s="2" t="inlineStr">
        <is>
          <t>100%</t>
        </is>
      </c>
      <c r="O134" s="2" t="inlineStr">
        <is>
          <t/>
        </is>
      </c>
      <c r="P134" s="2" t="n">
        <v>1075.0</v>
      </c>
      <c r="Q134" s="2" t="n">
        <v>386.0</v>
      </c>
      <c r="R134" s="2" t="n">
        <v>303.0</v>
      </c>
      <c r="S134" s="2" t="inlineStr">
        <is>
          <t>6.6%</t>
        </is>
      </c>
      <c r="T134" s="2" t="inlineStr">
        <is>
          <t>30.0%</t>
        </is>
      </c>
      <c r="U134" s="2" t="inlineStr">
        <is>
          <t>0.0%</t>
        </is>
      </c>
      <c r="V134" s="2"/>
      <c r="W134" s="2" t="inlineStr">
        <is>
          <t>0₽</t>
        </is>
      </c>
      <c r="X134" s="2" t="n">
        <v>1.0</v>
      </c>
      <c r="Y134" s="2"/>
      <c r="Z134" s="2"/>
      <c r="AA134" s="3" t="inlineStr">
        <is>
          <t>2026-05-31
&lt; 1 个月</t>
        </is>
      </c>
      <c r="AB134" s="2" t="inlineStr">
        <is>
          <t/>
        </is>
      </c>
      <c r="AC134" s="2" t="inlineStr">
        <is>
          <t/>
        </is>
      </c>
      <c r="AD134" s="2" t="inlineStr">
        <is>
          <t>WUXU</t>
        </is>
      </c>
      <c r="AE134" s="2" t="inlineStr">
        <is>
          <t>跨境卖家</t>
        </is>
      </c>
      <c r="AF134" s="2" t="inlineStr">
        <is>
          <t>RFBS</t>
        </is>
      </c>
      <c r="AG134" s="2" t="n">
        <v>0.0</v>
      </c>
    </row>
    <row r="135" customHeight="true" ht="64.0">
      <c r="A135" s="2" t="n">
        <v>134.0</v>
      </c>
      <c r="B135" s="2" t="inlineStr">
        <is>
          <t>https://ir.ozone.ru/s3/multimedia-1-7/wc300/9797721019.jpg</t>
        </is>
      </c>
      <c r="C135" s="2" t="n">
        <f>IF(ISERROR(IMAGE("https://ir.ozone.ru/s3/multimedia-1-7/wc300/9797721019.jpg")),"请使用新版Excel2024查看图片",IMAGE("https://ir.ozone.ru/s3/multimedia-1-7/wc300/9797721019.jpg"))</f>
        <v>0.0</v>
      </c>
      <c r="D135" s="2" t="inlineStr">
        <is>
          <t>Портативная электростанция-ECOFLOW-DELTA3MAX</t>
        </is>
      </c>
      <c r="E135" s="2" t="inlineStr">
        <is>
          <t>https://www.ozon.ru/product/4448204463</t>
        </is>
      </c>
      <c r="F135" s="2" t="n">
        <v>4.448204463E9</v>
      </c>
      <c r="G135" s="2" t="inlineStr">
        <is>
          <t/>
        </is>
      </c>
      <c r="H135" s="3" t="inlineStr">
        <is>
          <t>无线充电器
Беспроводное зарядное устройство</t>
        </is>
      </c>
      <c r="I135" s="3" t="inlineStr">
        <is>
          <t>跨境卖家可售</t>
        </is>
      </c>
      <c r="J135" s="2" t="inlineStr">
        <is>
          <t>59271₽</t>
        </is>
      </c>
      <c r="K135" s="2" t="n">
        <v>6.0</v>
      </c>
      <c r="L135" s="2" t="inlineStr">
        <is>
          <t>355626₽</t>
        </is>
      </c>
      <c r="M135" s="2" t="inlineStr">
        <is>
          <t>100%</t>
        </is>
      </c>
      <c r="N135" s="2" t="inlineStr">
        <is>
          <t>100%</t>
        </is>
      </c>
      <c r="O135" s="2" t="inlineStr">
        <is>
          <t>48.7%</t>
        </is>
      </c>
      <c r="P135" s="2" t="n">
        <v>1575.0</v>
      </c>
      <c r="Q135" s="2" t="n">
        <v>642.0</v>
      </c>
      <c r="R135" s="2" t="n">
        <v>563.0</v>
      </c>
      <c r="S135" s="2" t="inlineStr">
        <is>
          <t>3.37%</t>
        </is>
      </c>
      <c r="T135" s="2" t="inlineStr">
        <is>
          <t>31.6%</t>
        </is>
      </c>
      <c r="U135" s="2" t="inlineStr">
        <is>
          <t>0.0%</t>
        </is>
      </c>
      <c r="V135" s="2"/>
      <c r="W135" s="2" t="inlineStr">
        <is>
          <t>0₽</t>
        </is>
      </c>
      <c r="X135" s="2" t="n">
        <v>1.0</v>
      </c>
      <c r="Y135" s="2"/>
      <c r="Z135" s="2"/>
      <c r="AA135" s="3" t="inlineStr">
        <is>
          <t>2026-05-26
&lt; 1 个月</t>
        </is>
      </c>
      <c r="AB135" s="2" t="inlineStr">
        <is>
          <t>20000 g</t>
        </is>
      </c>
      <c r="AC135" s="2" t="inlineStr">
        <is>
          <t>46.8 L</t>
        </is>
      </c>
      <c r="AD135" s="2" t="inlineStr">
        <is>
          <t>Sinsilk71 Облегчи свою жизнь</t>
        </is>
      </c>
      <c r="AE135" s="2" t="inlineStr">
        <is>
          <t>跨境卖家</t>
        </is>
      </c>
      <c r="AF135" s="2" t="inlineStr">
        <is>
          <t>RFBS</t>
        </is>
      </c>
      <c r="AG135" s="2" t="n">
        <v>0.0</v>
      </c>
    </row>
    <row r="136" customHeight="true" ht="64.0">
      <c r="A136" s="2" t="n">
        <v>135.0</v>
      </c>
      <c r="B136" s="2" t="inlineStr">
        <is>
          <t>https://ir.ozone.ru/s3/multimedia-1-o/wc300/9046354488.jpg</t>
        </is>
      </c>
      <c r="C136" s="2" t="n">
        <f>IF(ISERROR(IMAGE("https://ir.ozone.ru/s3/multimedia-1-o/wc300/9046354488.jpg")),"请使用新版Excel2024查看图片",IMAGE("https://ir.ozone.ru/s3/multimedia-1-o/wc300/9046354488.jpg"))</f>
        <v>0.0</v>
      </c>
      <c r="D136" s="2" t="inlineStr">
        <is>
          <t>Amway Ополаскиватель для полости рта 59 мл</t>
        </is>
      </c>
      <c r="E136" s="2" t="inlineStr">
        <is>
          <t>https://www.ozon.ru/product/4393145712</t>
        </is>
      </c>
      <c r="F136" s="2" t="n">
        <v>4.393145712E9</v>
      </c>
      <c r="G136" s="2" t="inlineStr">
        <is>
          <t>Amway</t>
        </is>
      </c>
      <c r="H136" s="3" t="inlineStr">
        <is>
          <t>漱口水
Ополаскиватель для полости рта</t>
        </is>
      </c>
      <c r="I136" s="3" t="inlineStr">
        <is>
          <t>跨境卖家可售</t>
        </is>
      </c>
      <c r="J136" s="2" t="inlineStr">
        <is>
          <t>763₽</t>
        </is>
      </c>
      <c r="K136" s="2" t="n">
        <v>421.0</v>
      </c>
      <c r="L136" s="2" t="inlineStr">
        <is>
          <t>355364₽</t>
        </is>
      </c>
      <c r="M136" s="2" t="inlineStr">
        <is>
          <t>100%</t>
        </is>
      </c>
      <c r="N136" s="2" t="inlineStr">
        <is>
          <t>100%</t>
        </is>
      </c>
      <c r="O136" s="2" t="inlineStr">
        <is>
          <t>55%</t>
        </is>
      </c>
      <c r="P136" s="2" t="n">
        <v>66211.0</v>
      </c>
      <c r="Q136" s="2" t="n">
        <v>21757.0</v>
      </c>
      <c r="R136" s="2" t="n">
        <v>4850.0</v>
      </c>
      <c r="S136" s="2" t="inlineStr">
        <is>
          <t>20.72%</t>
        </is>
      </c>
      <c r="T136" s="2" t="inlineStr">
        <is>
          <t>41.9%</t>
        </is>
      </c>
      <c r="U136" s="2" t="inlineStr">
        <is>
          <t>10.01%</t>
        </is>
      </c>
      <c r="V136" s="2"/>
      <c r="W136" s="2" t="inlineStr">
        <is>
          <t>0₽</t>
        </is>
      </c>
      <c r="X136" s="2" t="n">
        <v>1.0</v>
      </c>
      <c r="Y136" s="2" t="n">
        <v>794.0</v>
      </c>
      <c r="Z136" s="2" t="inlineStr">
        <is>
          <t>5.0</t>
        </is>
      </c>
      <c r="AA136" s="3" t="inlineStr">
        <is>
          <t>2026-05-21
&lt; 1 个月</t>
        </is>
      </c>
      <c r="AB136" s="2" t="inlineStr">
        <is>
          <t>176 g</t>
        </is>
      </c>
      <c r="AC136" s="2" t="inlineStr">
        <is>
          <t>2.808 L</t>
        </is>
      </c>
      <c r="AD136" s="2" t="inlineStr">
        <is>
          <t>7 дней</t>
        </is>
      </c>
      <c r="AE136" s="2" t="inlineStr">
        <is>
          <t>跨境卖家</t>
        </is>
      </c>
      <c r="AF136" s="2" t="inlineStr">
        <is>
          <t>RFBS</t>
        </is>
      </c>
      <c r="AG136" s="2" t="n">
        <v>4.0</v>
      </c>
    </row>
    <row r="137" customHeight="true" ht="64.0">
      <c r="A137" s="2" t="n">
        <v>136.0</v>
      </c>
      <c r="B137" s="2" t="inlineStr">
        <is>
          <t>https://ir.ozone.ru/s3/multimedia-1-w/wc300/10521372956.jpg</t>
        </is>
      </c>
      <c r="C137" s="2" t="n">
        <f>IF(ISERROR(IMAGE("https://ir.ozone.ru/s3/multimedia-1-w/wc300/10521372956.jpg")),"请使用新版Excel2024查看图片",IMAGE("https://ir.ozone.ru/s3/multimedia-1-w/wc300/10521372956.jpg"))</f>
        <v>0.0</v>
      </c>
      <c r="D137" s="2" t="inlineStr">
        <is>
          <t>Руль MOZA KS PRO, высококачественный цветной дисплей 2,99 дюйма, карбоновое покрытие, гоночный симулятор</t>
        </is>
      </c>
      <c r="E137" s="2" t="inlineStr">
        <is>
          <t>https://www.ozon.ru/product/4330119045</t>
        </is>
      </c>
      <c r="F137" s="2" t="n">
        <v>4.330119045E9</v>
      </c>
      <c r="G137" s="2" t="inlineStr">
        <is>
          <t/>
        </is>
      </c>
      <c r="H137" s="3" t="inlineStr">
        <is>
          <t>赛车模拟器配件
Комплектующие для симрейсинга</t>
        </is>
      </c>
      <c r="I137" s="3" t="inlineStr">
        <is>
          <t>跨境卖家可售</t>
        </is>
      </c>
      <c r="J137" s="2" t="inlineStr">
        <is>
          <t>25183₽</t>
        </is>
      </c>
      <c r="K137" s="2" t="n">
        <v>14.0</v>
      </c>
      <c r="L137" s="2" t="inlineStr">
        <is>
          <t>354280₽</t>
        </is>
      </c>
      <c r="M137" s="2" t="inlineStr">
        <is>
          <t>100%</t>
        </is>
      </c>
      <c r="N137" s="2" t="inlineStr">
        <is>
          <t>100%</t>
        </is>
      </c>
      <c r="O137" s="2" t="inlineStr">
        <is>
          <t>55.7%</t>
        </is>
      </c>
      <c r="P137" s="2" t="n">
        <v>5366.0</v>
      </c>
      <c r="Q137" s="2" t="n">
        <v>458.0</v>
      </c>
      <c r="R137" s="2" t="n">
        <v>938.0</v>
      </c>
      <c r="S137" s="2" t="inlineStr">
        <is>
          <t>3.62%</t>
        </is>
      </c>
      <c r="T137" s="2" t="inlineStr">
        <is>
          <t>41.2%</t>
        </is>
      </c>
      <c r="U137" s="2" t="inlineStr">
        <is>
          <t>0.0%</t>
        </is>
      </c>
      <c r="V137" s="2"/>
      <c r="W137" s="2" t="inlineStr">
        <is>
          <t>0₽</t>
        </is>
      </c>
      <c r="X137" s="2" t="n">
        <v>4.0</v>
      </c>
      <c r="Y137" s="2"/>
      <c r="Z137" s="2"/>
      <c r="AA137" s="3" t="inlineStr">
        <is>
          <t>2026-05-16
&lt; 1 个月</t>
        </is>
      </c>
      <c r="AB137" s="2" t="inlineStr">
        <is>
          <t>2300 g</t>
        </is>
      </c>
      <c r="AC137" s="2" t="inlineStr">
        <is>
          <t>12.594 L</t>
        </is>
      </c>
      <c r="AD137" s="2" t="inlineStr">
        <is>
          <t>МОКР</t>
        </is>
      </c>
      <c r="AE137" s="2" t="inlineStr">
        <is>
          <t>跨境卖家</t>
        </is>
      </c>
      <c r="AF137" s="2" t="inlineStr">
        <is>
          <t>RFBS</t>
        </is>
      </c>
      <c r="AG137" s="2" t="n">
        <v>0.0</v>
      </c>
    </row>
    <row r="138" customHeight="true" ht="64.0">
      <c r="A138" s="2" t="n">
        <v>137.0</v>
      </c>
      <c r="B138" s="2" t="inlineStr">
        <is>
          <t>https://ir.ozone.ru/s3/multimedia-1-2/wc300/10543754522.jpg</t>
        </is>
      </c>
      <c r="C138" s="2" t="n">
        <f>IF(ISERROR(IMAGE("https://ir.ozone.ru/s3/multimedia-1-2/wc300/10543754522.jpg")),"请使用新版Excel2024查看图片",IMAGE("https://ir.ozone.ru/s3/multimedia-1-2/wc300/10543754522.jpg"))</f>
        <v>0.0</v>
      </c>
      <c r="D138" s="2" t="inlineStr">
        <is>
          <t xml:space="preserve"> Игровой ноутбук MECHREVO 019e404182f172f0b6a85e960b493c5b, AMD Ryzen 9 7845HX, RAM32 ГБ, SSD 1024 ГБ NVIDIA GeForce RTX, Windows Pro, черный матовый</t>
        </is>
      </c>
      <c r="E138" s="2" t="inlineStr">
        <is>
          <t>https://www.ozon.ru/product/4341744403</t>
        </is>
      </c>
      <c r="F138" s="2" t="n">
        <v>4.341744403E9</v>
      </c>
      <c r="G138" s="2" t="inlineStr">
        <is>
          <t/>
        </is>
      </c>
      <c r="H138" s="3" t="inlineStr">
        <is>
          <t>游戏笔记本电脑
Игровой ноутбук</t>
        </is>
      </c>
      <c r="I138" s="3" t="inlineStr">
        <is>
          <t>跨境卖家可售</t>
        </is>
      </c>
      <c r="J138" s="2" t="inlineStr">
        <is>
          <t>117815₽</t>
        </is>
      </c>
      <c r="K138" s="2" t="n">
        <v>3.0</v>
      </c>
      <c r="L138" s="2" t="inlineStr">
        <is>
          <t>353445₽</t>
        </is>
      </c>
      <c r="M138" s="2" t="inlineStr">
        <is>
          <t>100%</t>
        </is>
      </c>
      <c r="N138" s="2" t="inlineStr">
        <is>
          <t>100%</t>
        </is>
      </c>
      <c r="O138" s="2" t="inlineStr">
        <is>
          <t/>
        </is>
      </c>
      <c r="P138" s="2" t="n">
        <v>13933.0</v>
      </c>
      <c r="Q138" s="2" t="n">
        <v>7021.0</v>
      </c>
      <c r="R138" s="2" t="n">
        <v>1079.0</v>
      </c>
      <c r="S138" s="2" t="inlineStr">
        <is>
          <t>4.81%</t>
        </is>
      </c>
      <c r="T138" s="2" t="inlineStr">
        <is>
          <t>5.8%</t>
        </is>
      </c>
      <c r="U138" s="2" t="inlineStr">
        <is>
          <t>0.52%</t>
        </is>
      </c>
      <c r="V138" s="2"/>
      <c r="W138" s="2" t="inlineStr">
        <is>
          <t>0₽</t>
        </is>
      </c>
      <c r="X138" s="2" t="n">
        <v>1.0</v>
      </c>
      <c r="Y138" s="2"/>
      <c r="Z138" s="2"/>
      <c r="AA138" s="3" t="inlineStr">
        <is>
          <t>2026-05-17
&lt; 1 个月</t>
        </is>
      </c>
      <c r="AB138" s="2" t="inlineStr">
        <is>
          <t/>
        </is>
      </c>
      <c r="AC138" s="2" t="inlineStr">
        <is>
          <t/>
        </is>
      </c>
      <c r="AD138" s="2" t="inlineStr">
        <is>
          <t>H-B</t>
        </is>
      </c>
      <c r="AE138" s="2" t="inlineStr">
        <is>
          <t>跨境卖家</t>
        </is>
      </c>
      <c r="AF138" s="2" t="inlineStr">
        <is>
          <t>RFBS</t>
        </is>
      </c>
      <c r="AG138" s="2" t="n">
        <v>0.0</v>
      </c>
    </row>
    <row r="139" customHeight="true" ht="64.0">
      <c r="A139" s="2" t="n">
        <v>138.0</v>
      </c>
      <c r="B139" s="2" t="inlineStr">
        <is>
          <t>https://ir.ozone.ru/s3/multimedia-1-s/wc300/10661784580.jpg</t>
        </is>
      </c>
      <c r="C139" s="2" t="n">
        <f>IF(ISERROR(IMAGE("https://ir.ozone.ru/s3/multimedia-1-s/wc300/10661784580.jpg")),"请使用新版Excel2024查看图片",IMAGE("https://ir.ozone.ru/s3/multimedia-1-s/wc300/10661784580.jpg"))</f>
        <v>0.0</v>
      </c>
      <c r="D139" s="2" t="inlineStr">
        <is>
          <t>Костюм классический Koton льняной костюм женский</t>
        </is>
      </c>
      <c r="E139" s="2" t="inlineStr">
        <is>
          <t>https://www.ozon.ru/product/4389434061</t>
        </is>
      </c>
      <c r="F139" s="2" t="n">
        <v>4.389434061E9</v>
      </c>
      <c r="G139" s="2" t="inlineStr">
        <is>
          <t>Koton</t>
        </is>
      </c>
      <c r="H139" s="3" t="inlineStr">
        <is>
          <t>经典西服
Костюм классический</t>
        </is>
      </c>
      <c r="I139" s="3" t="inlineStr">
        <is>
          <t>跨境卖家可售</t>
        </is>
      </c>
      <c r="J139" s="2" t="inlineStr">
        <is>
          <t>2824₽</t>
        </is>
      </c>
      <c r="K139" s="2" t="n">
        <v>121.0</v>
      </c>
      <c r="L139" s="2" t="inlineStr">
        <is>
          <t>352856₽</t>
        </is>
      </c>
      <c r="M139" s="2" t="inlineStr">
        <is>
          <t>100%</t>
        </is>
      </c>
      <c r="N139" s="2" t="inlineStr">
        <is>
          <t>100%</t>
        </is>
      </c>
      <c r="O139" s="2" t="inlineStr">
        <is>
          <t>53%</t>
        </is>
      </c>
      <c r="P139" s="2" t="n">
        <v>55963.0</v>
      </c>
      <c r="Q139" s="2" t="n">
        <v>371.0</v>
      </c>
      <c r="R139" s="2" t="n">
        <v>13126.0</v>
      </c>
      <c r="S139" s="2" t="inlineStr">
        <is>
          <t>29.85%</t>
        </is>
      </c>
      <c r="T139" s="2" t="inlineStr">
        <is>
          <t>3.2%</t>
        </is>
      </c>
      <c r="U139" s="2" t="inlineStr">
        <is>
          <t>0.0%</t>
        </is>
      </c>
      <c r="V139" s="2"/>
      <c r="W139" s="2" t="inlineStr">
        <is>
          <t>0₽</t>
        </is>
      </c>
      <c r="X139" s="2" t="n">
        <v>34.0</v>
      </c>
      <c r="Y139" s="2" t="n">
        <v>65.0</v>
      </c>
      <c r="Z139" s="2" t="inlineStr">
        <is>
          <t>4.7</t>
        </is>
      </c>
      <c r="AA139" s="3" t="inlineStr">
        <is>
          <t>2026-05-21
&lt; 1 个月</t>
        </is>
      </c>
      <c r="AB139" s="2" t="inlineStr">
        <is>
          <t>450 g</t>
        </is>
      </c>
      <c r="AC139" s="2" t="inlineStr">
        <is>
          <t>4.5 L</t>
        </is>
      </c>
      <c r="AD139" s="2" t="inlineStr">
        <is>
          <t>Rich</t>
        </is>
      </c>
      <c r="AE139" s="2" t="inlineStr">
        <is>
          <t>跨境卖家</t>
        </is>
      </c>
      <c r="AF139" s="2" t="inlineStr">
        <is>
          <t>RFBS</t>
        </is>
      </c>
      <c r="AG139" s="2" t="n">
        <v>43.0</v>
      </c>
    </row>
    <row r="140" customHeight="true" ht="64.0">
      <c r="A140" s="2" t="n">
        <v>139.0</v>
      </c>
      <c r="B140" s="2" t="inlineStr">
        <is>
          <t>https://ir.ozone.ru/s3/multimedia-1-o/wc300/11432316264.jpg</t>
        </is>
      </c>
      <c r="C140" s="2" t="n">
        <f>IF(ISERROR(IMAGE("https://ir.ozone.ru/s3/multimedia-1-o/wc300/11432316264.jpg")),"请使用新版Excel2024查看图片",IMAGE("https://ir.ozone.ru/s3/multimedia-1-o/wc300/11432316264.jpg"))</f>
        <v>0.0</v>
      </c>
      <c r="D140" s="2" t="inlineStr">
        <is>
          <t>Настольная игра Pokemon TCG: Chaos Rising - элитная тренерская коробка</t>
        </is>
      </c>
      <c r="E140" s="2" t="inlineStr">
        <is>
          <t>https://www.ozon.ru/product/4391770359</t>
        </is>
      </c>
      <c r="F140" s="2" t="n">
        <v>4.391770359E9</v>
      </c>
      <c r="G140" s="2" t="inlineStr">
        <is>
          <t>Pokemon</t>
        </is>
      </c>
      <c r="H140" s="3" t="inlineStr">
        <is>
          <t>桌面游戏
Настольная игра</t>
        </is>
      </c>
      <c r="I140" s="3" t="inlineStr">
        <is>
          <t>跨境卖家可售</t>
        </is>
      </c>
      <c r="J140" s="2" t="inlineStr">
        <is>
          <t>8757₽</t>
        </is>
      </c>
      <c r="K140" s="2" t="n">
        <v>37.0</v>
      </c>
      <c r="L140" s="2" t="inlineStr">
        <is>
          <t>351670₽</t>
        </is>
      </c>
      <c r="M140" s="2" t="inlineStr">
        <is>
          <t>100%</t>
        </is>
      </c>
      <c r="N140" s="2" t="inlineStr">
        <is>
          <t>100%</t>
        </is>
      </c>
      <c r="O140" s="2" t="inlineStr">
        <is>
          <t>51%</t>
        </is>
      </c>
      <c r="P140" s="2" t="n">
        <v>5884.0</v>
      </c>
      <c r="Q140" s="2" t="n">
        <v>132.0</v>
      </c>
      <c r="R140" s="2" t="n">
        <v>1447.0</v>
      </c>
      <c r="S140" s="2" t="inlineStr">
        <is>
          <t>4.07%</t>
        </is>
      </c>
      <c r="T140" s="2" t="inlineStr">
        <is>
          <t>62.7%</t>
        </is>
      </c>
      <c r="U140" s="2" t="inlineStr">
        <is>
          <t>0.0%</t>
        </is>
      </c>
      <c r="V140" s="2"/>
      <c r="W140" s="2" t="inlineStr">
        <is>
          <t>0₽</t>
        </is>
      </c>
      <c r="X140" s="2" t="n">
        <v>6.0</v>
      </c>
      <c r="Y140" s="2"/>
      <c r="Z140" s="2" t="inlineStr">
        <is>
          <t>4.9</t>
        </is>
      </c>
      <c r="AA140" s="3" t="inlineStr">
        <is>
          <t>2026-05-21
&lt; 1 个月</t>
        </is>
      </c>
      <c r="AB140" s="2" t="inlineStr">
        <is>
          <t>850 g</t>
        </is>
      </c>
      <c r="AC140" s="2" t="inlineStr">
        <is>
          <t>32 L</t>
        </is>
      </c>
      <c r="AD140" s="2" t="inlineStr">
        <is>
          <t>Toys360</t>
        </is>
      </c>
      <c r="AE140" s="2" t="inlineStr">
        <is>
          <t>跨境卖家</t>
        </is>
      </c>
      <c r="AF140" s="2" t="inlineStr">
        <is>
          <t>RFBS</t>
        </is>
      </c>
      <c r="AG140" s="2" t="n">
        <v>60.0</v>
      </c>
    </row>
    <row r="141" customHeight="true" ht="64.0">
      <c r="A141" s="2" t="n">
        <v>140.0</v>
      </c>
      <c r="B141" s="2" t="inlineStr">
        <is>
          <t>https://ir.ozone.ru/s3/multimedia-1-s/wc300/10622535760.jpg</t>
        </is>
      </c>
      <c r="C141" s="2" t="n">
        <f>IF(ISERROR(IMAGE("https://ir.ozone.ru/s3/multimedia-1-s/wc300/10622535760.jpg")),"请使用新版Excel2024查看图片",IMAGE("https://ir.ozone.ru/s3/multimedia-1-s/wc300/10622535760.jpg"))</f>
        <v>0.0</v>
      </c>
      <c r="D141" s="2" t="inlineStr">
        <is>
          <t>DECATHLON Палатка 4-местная</t>
        </is>
      </c>
      <c r="E141" s="2" t="inlineStr">
        <is>
          <t>https://www.ozon.ru/product/4328113568</t>
        </is>
      </c>
      <c r="F141" s="2" t="n">
        <v>4.328113568E9</v>
      </c>
      <c r="G141" s="2" t="inlineStr">
        <is>
          <t>DECATHLON</t>
        </is>
      </c>
      <c r="H141" s="3" t="inlineStr">
        <is>
          <t>帐篷
Палатка</t>
        </is>
      </c>
      <c r="I141" s="3" t="inlineStr">
        <is>
          <t>跨境卖家可售</t>
        </is>
      </c>
      <c r="J141" s="2" t="inlineStr">
        <is>
          <t>34670₽</t>
        </is>
      </c>
      <c r="K141" s="2" t="n">
        <v>10.0</v>
      </c>
      <c r="L141" s="2" t="inlineStr">
        <is>
          <t>351592₽</t>
        </is>
      </c>
      <c r="M141" s="2" t="inlineStr">
        <is>
          <t>100%</t>
        </is>
      </c>
      <c r="N141" s="2" t="inlineStr">
        <is>
          <t>100%</t>
        </is>
      </c>
      <c r="O141" s="2" t="inlineStr">
        <is>
          <t>49.4%</t>
        </is>
      </c>
      <c r="P141" s="2" t="n">
        <v>10665.0</v>
      </c>
      <c r="Q141" s="2" t="n">
        <v>3755.0</v>
      </c>
      <c r="R141" s="2" t="n">
        <v>2216.0</v>
      </c>
      <c r="S141" s="2" t="inlineStr">
        <is>
          <t>1.71%</t>
        </is>
      </c>
      <c r="T141" s="2" t="inlineStr">
        <is>
          <t>26.3%</t>
        </is>
      </c>
      <c r="U141" s="2" t="inlineStr">
        <is>
          <t>0.25%</t>
        </is>
      </c>
      <c r="V141" s="2"/>
      <c r="W141" s="2" t="inlineStr">
        <is>
          <t>0₽</t>
        </is>
      </c>
      <c r="X141" s="2" t="n">
        <v>6.0</v>
      </c>
      <c r="Y141" s="2" t="n">
        <v>5.0</v>
      </c>
      <c r="Z141" s="2" t="inlineStr">
        <is>
          <t>4.8</t>
        </is>
      </c>
      <c r="AA141" s="3" t="inlineStr">
        <is>
          <t>2026-05-16
&lt; 1 个月</t>
        </is>
      </c>
      <c r="AB141" s="2" t="inlineStr">
        <is>
          <t>9520 g</t>
        </is>
      </c>
      <c r="AC141" s="2" t="inlineStr">
        <is>
          <t>81.12 L</t>
        </is>
      </c>
      <c r="AD141" s="2" t="inlineStr">
        <is>
          <t>TookFun ТехноМир</t>
        </is>
      </c>
      <c r="AE141" s="2" t="inlineStr">
        <is>
          <t>跨境卖家</t>
        </is>
      </c>
      <c r="AF141" s="2" t="inlineStr">
        <is>
          <t>RFBS</t>
        </is>
      </c>
      <c r="AG141" s="2" t="n">
        <v>27.0</v>
      </c>
    </row>
    <row r="142" customHeight="true" ht="64.0">
      <c r="A142" s="2" t="n">
        <v>141.0</v>
      </c>
      <c r="B142" s="2" t="inlineStr">
        <is>
          <t>https://ir.ozone.ru/s3/multimedia-1-a/wc300/10654424866.jpg</t>
        </is>
      </c>
      <c r="C142" s="2" t="n">
        <f>IF(ISERROR(IMAGE("https://ir.ozone.ru/s3/multimedia-1-a/wc300/10654424866.jpg")),"请使用新版Excel2024查看图片",IMAGE("https://ir.ozone.ru/s3/multimedia-1-a/wc300/10654424866.jpg"))</f>
        <v>0.0</v>
      </c>
      <c r="D142" s="2" t="inlineStr">
        <is>
          <t>Лейка, 10 л 1 шт</t>
        </is>
      </c>
      <c r="E142" s="2" t="inlineStr">
        <is>
          <t>https://www.ozon.ru/product/4386986189</t>
        </is>
      </c>
      <c r="F142" s="2" t="n">
        <v>4.386986189E9</v>
      </c>
      <c r="G142" s="2" t="inlineStr">
        <is>
          <t/>
        </is>
      </c>
      <c r="H142" s="3" t="inlineStr">
        <is>
          <t>浇花壶
Лейка</t>
        </is>
      </c>
      <c r="I142" s="3" t="inlineStr">
        <is>
          <t>跨境卖家可售</t>
        </is>
      </c>
      <c r="J142" s="2" t="inlineStr">
        <is>
          <t>269₽</t>
        </is>
      </c>
      <c r="K142" s="2" t="n">
        <v>1305.0</v>
      </c>
      <c r="L142" s="2" t="inlineStr">
        <is>
          <t>351045₽</t>
        </is>
      </c>
      <c r="M142" s="2" t="inlineStr">
        <is>
          <t>100%</t>
        </is>
      </c>
      <c r="N142" s="2" t="inlineStr">
        <is>
          <t>100%</t>
        </is>
      </c>
      <c r="O142" s="2" t="inlineStr">
        <is>
          <t>51.4%</t>
        </is>
      </c>
      <c r="P142" s="2" t="n">
        <v>93845.0</v>
      </c>
      <c r="Q142" s="2" t="n">
        <v>35549.0</v>
      </c>
      <c r="R142" s="2" t="n">
        <v>12432.0</v>
      </c>
      <c r="S142" s="2" t="inlineStr">
        <is>
          <t>24.74%</t>
        </is>
      </c>
      <c r="T142" s="2" t="inlineStr">
        <is>
          <t>42.4%</t>
        </is>
      </c>
      <c r="U142" s="2" t="inlineStr">
        <is>
          <t>6.85%</t>
        </is>
      </c>
      <c r="V142" s="2"/>
      <c r="W142" s="2" t="inlineStr">
        <is>
          <t>0₽</t>
        </is>
      </c>
      <c r="X142" s="2" t="n">
        <v>1.0</v>
      </c>
      <c r="Y142" s="2"/>
      <c r="Z142" s="2"/>
      <c r="AA142" s="3" t="inlineStr">
        <is>
          <t>2026-05-21
&lt; 1 个月</t>
        </is>
      </c>
      <c r="AB142" s="2" t="inlineStr">
        <is>
          <t>480 g</t>
        </is>
      </c>
      <c r="AC142" s="2" t="inlineStr">
        <is>
          <t>9.2 L</t>
        </is>
      </c>
      <c r="AD142" s="2" t="inlineStr">
        <is>
          <t>Магазин Лингцай</t>
        </is>
      </c>
      <c r="AE142" s="2" t="inlineStr">
        <is>
          <t>跨境卖家</t>
        </is>
      </c>
      <c r="AF142" s="2" t="inlineStr">
        <is>
          <t>RFBS</t>
        </is>
      </c>
      <c r="AG142" s="2" t="n">
        <v>4.0</v>
      </c>
    </row>
    <row r="143" customHeight="true" ht="64.0">
      <c r="A143" s="2" t="n">
        <v>142.0</v>
      </c>
      <c r="B143" s="2" t="inlineStr">
        <is>
          <t>https://ir.ozone.ru/s3/multimedia-1-8/wc300/11110955408.jpg</t>
        </is>
      </c>
      <c r="C143" s="2" t="n">
        <f>IF(ISERROR(IMAGE("https://ir.ozone.ru/s3/multimedia-1-8/wc300/11110955408.jpg")),"请使用新版Excel2024查看图片",IMAGE("https://ir.ozone.ru/s3/multimedia-1-8/wc300/11110955408.jpg"))</f>
        <v>0.0</v>
      </c>
      <c r="D143" s="2" t="inlineStr">
        <is>
          <t>Геймпад Sony DualSense 30th Anniversary Edition</t>
        </is>
      </c>
      <c r="E143" s="2" t="inlineStr">
        <is>
          <t>https://www.ozon.ru/product/4321937869</t>
        </is>
      </c>
      <c r="F143" s="2" t="n">
        <v>4.321937869E9</v>
      </c>
      <c r="G143" s="2" t="inlineStr">
        <is>
          <t>Sony</t>
        </is>
      </c>
      <c r="H143" s="3" t="inlineStr">
        <is>
          <t>游戏机配件
Аксессуар для игровой приставки</t>
        </is>
      </c>
      <c r="I143" s="3" t="inlineStr">
        <is>
          <t>跨境卖家可售</t>
        </is>
      </c>
      <c r="J143" s="2" t="inlineStr">
        <is>
          <t>9449₽</t>
        </is>
      </c>
      <c r="K143" s="2" t="n">
        <v>37.0</v>
      </c>
      <c r="L143" s="2" t="inlineStr">
        <is>
          <t>350985₽</t>
        </is>
      </c>
      <c r="M143" s="2" t="inlineStr">
        <is>
          <t>100%</t>
        </is>
      </c>
      <c r="N143" s="2" t="inlineStr">
        <is>
          <t>100%</t>
        </is>
      </c>
      <c r="O143" s="2" t="inlineStr">
        <is>
          <t>47%</t>
        </is>
      </c>
      <c r="P143" s="2" t="n">
        <v>43833.0</v>
      </c>
      <c r="Q143" s="2" t="n">
        <v>14078.0</v>
      </c>
      <c r="R143" s="2" t="n">
        <v>4905.0</v>
      </c>
      <c r="S143" s="2" t="inlineStr">
        <is>
          <t>3.24%</t>
        </is>
      </c>
      <c r="T143" s="2" t="inlineStr">
        <is>
          <t>23.3%</t>
        </is>
      </c>
      <c r="U143" s="2" t="inlineStr">
        <is>
          <t>4.21%</t>
        </is>
      </c>
      <c r="V143" s="2"/>
      <c r="W143" s="2" t="inlineStr">
        <is>
          <t>0₽</t>
        </is>
      </c>
      <c r="X143" s="2" t="n">
        <v>1.0</v>
      </c>
      <c r="Y143" s="2" t="n">
        <v>894.0</v>
      </c>
      <c r="Z143" s="2" t="inlineStr">
        <is>
          <t>5.0</t>
        </is>
      </c>
      <c r="AA143" s="3" t="inlineStr">
        <is>
          <t>2026-05-15
1 个月</t>
        </is>
      </c>
      <c r="AB143" s="2" t="inlineStr">
        <is>
          <t>472 g</t>
        </is>
      </c>
      <c r="AC143" s="2" t="inlineStr">
        <is>
          <t>2.463 L</t>
        </is>
      </c>
      <c r="AD143" s="2" t="inlineStr">
        <is>
          <t>AE Dubai Freezone Official</t>
        </is>
      </c>
      <c r="AE143" s="2" t="inlineStr">
        <is>
          <t>跨境卖家</t>
        </is>
      </c>
      <c r="AF143" s="2" t="inlineStr">
        <is>
          <t>RFBS</t>
        </is>
      </c>
      <c r="AG143" s="2" t="n">
        <v>95.0</v>
      </c>
    </row>
    <row r="144" customHeight="true" ht="64.0">
      <c r="A144" s="2" t="n">
        <v>143.0</v>
      </c>
      <c r="B144" s="2" t="inlineStr">
        <is>
          <t>https://ir.ozone.ru/s3/multimedia-1-s/wc300/11111549860.jpg</t>
        </is>
      </c>
      <c r="C144" s="2" t="n">
        <f>IF(ISERROR(IMAGE("https://ir.ozone.ru/s3/multimedia-1-s/wc300/11111549860.jpg")),"请使用新版Excel2024查看图片",IMAGE("https://ir.ozone.ru/s3/multimedia-1-s/wc300/11111549860.jpg"))</f>
        <v>0.0</v>
      </c>
      <c r="D144" s="2" t="inlineStr">
        <is>
          <t>Xiaomi Смартфон 17T  Pro Global 12/512 ГБ, Nano-SIM, eSIM, черный</t>
        </is>
      </c>
      <c r="E144" s="2" t="inlineStr">
        <is>
          <t>https://www.ozon.ru/product/4438063943</t>
        </is>
      </c>
      <c r="F144" s="2" t="n">
        <v>4.438063943E9</v>
      </c>
      <c r="G144" s="2" t="inlineStr">
        <is>
          <t>Xiaomi</t>
        </is>
      </c>
      <c r="H144" s="3" t="inlineStr">
        <is>
          <t>智能手机
Смартфон</t>
        </is>
      </c>
      <c r="I144" s="3" t="inlineStr">
        <is>
          <t>跨境卖家可售</t>
        </is>
      </c>
      <c r="J144" s="2" t="inlineStr">
        <is>
          <t>58230₽</t>
        </is>
      </c>
      <c r="K144" s="2" t="n">
        <v>6.0</v>
      </c>
      <c r="L144" s="2" t="inlineStr">
        <is>
          <t>350418₽</t>
        </is>
      </c>
      <c r="M144" s="2" t="inlineStr">
        <is>
          <t>100%</t>
        </is>
      </c>
      <c r="N144" s="2" t="inlineStr">
        <is>
          <t>100%</t>
        </is>
      </c>
      <c r="O144" s="2" t="inlineStr">
        <is>
          <t>57.2%</t>
        </is>
      </c>
      <c r="P144" s="2" t="n">
        <v>12088.0</v>
      </c>
      <c r="Q144" s="2" t="n">
        <v>1355.0</v>
      </c>
      <c r="R144" s="2" t="n">
        <v>3215.0</v>
      </c>
      <c r="S144" s="2" t="inlineStr">
        <is>
          <t>5.53%</t>
        </is>
      </c>
      <c r="T144" s="2" t="inlineStr">
        <is>
          <t>3.4%</t>
        </is>
      </c>
      <c r="U144" s="2" t="inlineStr">
        <is>
          <t>0.0%</t>
        </is>
      </c>
      <c r="V144" s="2"/>
      <c r="W144" s="2" t="inlineStr">
        <is>
          <t>0₽</t>
        </is>
      </c>
      <c r="X144" s="2" t="n">
        <v>1.0</v>
      </c>
      <c r="Y144" s="2"/>
      <c r="Z144" s="2"/>
      <c r="AA144" s="3" t="inlineStr">
        <is>
          <t>2026-05-25
&lt; 1 个月</t>
        </is>
      </c>
      <c r="AB144" s="2" t="inlineStr">
        <is>
          <t>512 g</t>
        </is>
      </c>
      <c r="AC144" s="2" t="inlineStr">
        <is>
          <t>1.11 L</t>
        </is>
      </c>
      <c r="AD144" s="2" t="inlineStr">
        <is>
          <t>AE Dubai Freezone Official</t>
        </is>
      </c>
      <c r="AE144" s="2" t="inlineStr">
        <is>
          <t>跨境卖家</t>
        </is>
      </c>
      <c r="AF144" s="2" t="inlineStr">
        <is>
          <t>RFBS</t>
        </is>
      </c>
      <c r="AG144" s="2" t="n">
        <v>0.0</v>
      </c>
    </row>
    <row r="145" customHeight="true" ht="64.0">
      <c r="A145" s="2" t="n">
        <v>144.0</v>
      </c>
      <c r="B145" s="2" t="inlineStr">
        <is>
          <t>https://ir.ozone.ru/s3/multimedia-1-c/wc300/11132708052.jpg</t>
        </is>
      </c>
      <c r="C145" s="2" t="n">
        <f>IF(ISERROR(IMAGE("https://ir.ozone.ru/s3/multimedia-1-c/wc300/11132708052.jpg")),"请使用新版Excel2024查看图片",IMAGE("https://ir.ozone.ru/s3/multimedia-1-c/wc300/11132708052.jpg"))</f>
        <v>0.0</v>
      </c>
      <c r="D145" s="2" t="inlineStr">
        <is>
          <t>Цифровой рэковый микшерный пульт BEHRINGER WING RACK</t>
        </is>
      </c>
      <c r="E145" s="2" t="inlineStr">
        <is>
          <t>https://www.ozon.ru/product/4580053096</t>
        </is>
      </c>
      <c r="F145" s="2" t="n">
        <v>4.580053096E9</v>
      </c>
      <c r="G145" s="2" t="inlineStr">
        <is>
          <t/>
        </is>
      </c>
      <c r="H145" s="3" t="inlineStr">
        <is>
          <t>调音台
Микшер</t>
        </is>
      </c>
      <c r="I145" s="3" t="inlineStr">
        <is>
          <t>跨境卖家可售</t>
        </is>
      </c>
      <c r="J145" s="2" t="inlineStr">
        <is>
          <t>87389₽</t>
        </is>
      </c>
      <c r="K145" s="2" t="n">
        <v>4.0</v>
      </c>
      <c r="L145" s="2" t="inlineStr">
        <is>
          <t>349556₽</t>
        </is>
      </c>
      <c r="M145" s="2" t="inlineStr">
        <is>
          <t>100%</t>
        </is>
      </c>
      <c r="N145" s="2" t="inlineStr">
        <is>
          <t>100%</t>
        </is>
      </c>
      <c r="O145" s="2" t="inlineStr">
        <is>
          <t/>
        </is>
      </c>
      <c r="P145" s="2" t="n">
        <v>795.0</v>
      </c>
      <c r="Q145" s="2" t="n">
        <v>276.0</v>
      </c>
      <c r="R145" s="2" t="n">
        <v>232.0</v>
      </c>
      <c r="S145" s="2" t="inlineStr">
        <is>
          <t>6.89%</t>
        </is>
      </c>
      <c r="T145" s="2" t="inlineStr">
        <is>
          <t>25.0%</t>
        </is>
      </c>
      <c r="U145" s="2" t="inlineStr">
        <is>
          <t>0.14%</t>
        </is>
      </c>
      <c r="V145" s="2"/>
      <c r="W145" s="2" t="inlineStr">
        <is>
          <t>0₽</t>
        </is>
      </c>
      <c r="X145" s="2" t="n">
        <v>1.0</v>
      </c>
      <c r="Y145" s="2"/>
      <c r="Z145" s="2"/>
      <c r="AA145" s="3" t="inlineStr">
        <is>
          <t>2026-06-04
&lt; 1 个月</t>
        </is>
      </c>
      <c r="AB145" s="2" t="inlineStr">
        <is>
          <t/>
        </is>
      </c>
      <c r="AC145" s="2" t="inlineStr">
        <is>
          <t/>
        </is>
      </c>
      <c r="AD145" s="2" t="inlineStr">
        <is>
          <t>ligang</t>
        </is>
      </c>
      <c r="AE145" s="2" t="inlineStr">
        <is>
          <t>跨境卖家</t>
        </is>
      </c>
      <c r="AF145" s="2" t="inlineStr">
        <is>
          <t>RFBS</t>
        </is>
      </c>
      <c r="AG145" s="2" t="n">
        <v>0.0</v>
      </c>
    </row>
    <row r="146" customHeight="true" ht="64.0">
      <c r="A146" s="2" t="n">
        <v>145.0</v>
      </c>
      <c r="B146" s="2" t="inlineStr">
        <is>
          <t>https://ir.ozone.ru/s3/multimedia-1-2/wc300/10886838482.jpg</t>
        </is>
      </c>
      <c r="C146" s="2" t="n">
        <f>IF(ISERROR(IMAGE("https://ir.ozone.ru/s3/multimedia-1-2/wc300/10886838482.jpg")),"请使用新版Excel2024查看图片",IMAGE("https://ir.ozone.ru/s3/multimedia-1-2/wc300/10886838482.jpg"))</f>
        <v>0.0</v>
      </c>
      <c r="D146" s="2" t="inlineStr">
        <is>
          <t>Электровелосипед, 400 Вт</t>
        </is>
      </c>
      <c r="E146" s="2" t="inlineStr">
        <is>
          <t>https://www.ozon.ru/product/4477604215</t>
        </is>
      </c>
      <c r="F146" s="2" t="n">
        <v>4.477604215E9</v>
      </c>
      <c r="G146" s="2" t="inlineStr">
        <is>
          <t/>
        </is>
      </c>
      <c r="H146" s="3" t="inlineStr">
        <is>
          <t>电动自行车
Электровелосипед</t>
        </is>
      </c>
      <c r="I146" s="3" t="inlineStr">
        <is>
          <t>跨境卖家可售</t>
        </is>
      </c>
      <c r="J146" s="2" t="inlineStr">
        <is>
          <t>24943₽</t>
        </is>
      </c>
      <c r="K146" s="2" t="n">
        <v>14.0</v>
      </c>
      <c r="L146" s="2" t="inlineStr">
        <is>
          <t>348446₽</t>
        </is>
      </c>
      <c r="M146" s="2" t="inlineStr">
        <is>
          <t>100%</t>
        </is>
      </c>
      <c r="N146" s="2" t="inlineStr">
        <is>
          <t>100%</t>
        </is>
      </c>
      <c r="O146" s="2" t="inlineStr">
        <is>
          <t/>
        </is>
      </c>
      <c r="P146" s="2" t="n">
        <v>3996.0</v>
      </c>
      <c r="Q146" s="2" t="n">
        <v>788.0</v>
      </c>
      <c r="R146" s="2" t="n">
        <v>1265.0</v>
      </c>
      <c r="S146" s="2" t="inlineStr">
        <is>
          <t>8.14%</t>
        </is>
      </c>
      <c r="T146" s="2" t="inlineStr">
        <is>
          <t>13.6%</t>
        </is>
      </c>
      <c r="U146" s="2" t="inlineStr">
        <is>
          <t>0.0%</t>
        </is>
      </c>
      <c r="V146" s="2"/>
      <c r="W146" s="2" t="inlineStr">
        <is>
          <t>0₽</t>
        </is>
      </c>
      <c r="X146" s="2" t="n">
        <v>1.0</v>
      </c>
      <c r="Y146" s="2"/>
      <c r="Z146" s="2"/>
      <c r="AA146" s="3" t="inlineStr">
        <is>
          <t>2026-05-28
&lt; 1 个月</t>
        </is>
      </c>
      <c r="AB146" s="2" t="inlineStr">
        <is>
          <t/>
        </is>
      </c>
      <c r="AC146" s="2" t="inlineStr">
        <is>
          <t/>
        </is>
      </c>
      <c r="AD146" s="2" t="inlineStr">
        <is>
          <t>HeYiXin Select</t>
        </is>
      </c>
      <c r="AE146" s="2" t="inlineStr">
        <is>
          <t>跨境卖家</t>
        </is>
      </c>
      <c r="AF146" s="2" t="inlineStr">
        <is>
          <t>RFBS</t>
        </is>
      </c>
      <c r="AG146" s="2" t="n">
        <v>0.0</v>
      </c>
    </row>
    <row r="147" customHeight="true" ht="64.0">
      <c r="A147" s="2" t="n">
        <v>146.0</v>
      </c>
      <c r="B147" s="2" t="inlineStr">
        <is>
          <t>https://ir.ozone.ru/s3/multimedia-1-1/wc300/11337482197.jpg</t>
        </is>
      </c>
      <c r="C147" s="2" t="n">
        <f>IF(ISERROR(IMAGE("https://ir.ozone.ru/s3/multimedia-1-1/wc300/11337482197.jpg")),"请使用新版Excel2024查看图片",IMAGE("https://ir.ozone.ru/s3/multimedia-1-1/wc300/11337482197.jpg"))</f>
        <v>0.0</v>
      </c>
      <c r="D147" s="2" t="inlineStr">
        <is>
          <t>Панорамная экшн-камера Insta360 X5 с 8K-стабилизацией изображения, черный</t>
        </is>
      </c>
      <c r="E147" s="2" t="inlineStr">
        <is>
          <t>https://www.ozon.ru/product/4403643979</t>
        </is>
      </c>
      <c r="F147" s="2" t="n">
        <v>4.403643979E9</v>
      </c>
      <c r="G147" s="2" t="inlineStr">
        <is>
          <t>Insta360</t>
        </is>
      </c>
      <c r="H147" s="3" t="inlineStr">
        <is>
          <t>相机配件
Аксессуар для камеры</t>
        </is>
      </c>
      <c r="I147" s="3" t="inlineStr">
        <is>
          <t>跨境卖家可售</t>
        </is>
      </c>
      <c r="J147" s="2" t="inlineStr">
        <is>
          <t>34296₽</t>
        </is>
      </c>
      <c r="K147" s="2" t="n">
        <v>10.0</v>
      </c>
      <c r="L147" s="2" t="inlineStr">
        <is>
          <t>347626₽</t>
        </is>
      </c>
      <c r="M147" s="2" t="inlineStr">
        <is>
          <t>100%</t>
        </is>
      </c>
      <c r="N147" s="2" t="inlineStr">
        <is>
          <t>100%</t>
        </is>
      </c>
      <c r="O147" s="2" t="inlineStr">
        <is>
          <t>48.4%</t>
        </is>
      </c>
      <c r="P147" s="2" t="n">
        <v>10648.0</v>
      </c>
      <c r="Q147" s="2" t="n">
        <v>4891.0</v>
      </c>
      <c r="R147" s="2" t="n">
        <v>1034.0</v>
      </c>
      <c r="S147" s="2" t="inlineStr">
        <is>
          <t>6.09%</t>
        </is>
      </c>
      <c r="T147" s="2" t="inlineStr">
        <is>
          <t>15.9%</t>
        </is>
      </c>
      <c r="U147" s="2" t="inlineStr">
        <is>
          <t>1.66%</t>
        </is>
      </c>
      <c r="V147" s="2"/>
      <c r="W147" s="2" t="inlineStr">
        <is>
          <t>0₽</t>
        </is>
      </c>
      <c r="X147" s="2" t="n">
        <v>2.0</v>
      </c>
      <c r="Y147" s="2"/>
      <c r="Z147" s="2"/>
      <c r="AA147" s="3" t="inlineStr">
        <is>
          <t>2026-05-22
&lt; 1 个月</t>
        </is>
      </c>
      <c r="AB147" s="2" t="inlineStr">
        <is>
          <t>555 g</t>
        </is>
      </c>
      <c r="AC147" s="2" t="inlineStr">
        <is>
          <t>3.043 L</t>
        </is>
      </c>
      <c r="AD147" s="2" t="inlineStr">
        <is>
          <t>qingshantongxun</t>
        </is>
      </c>
      <c r="AE147" s="2" t="inlineStr">
        <is>
          <t>跨境卖家</t>
        </is>
      </c>
      <c r="AF147" s="2" t="inlineStr">
        <is>
          <t>RFBS</t>
        </is>
      </c>
      <c r="AG147" s="2" t="n">
        <v>4.0</v>
      </c>
    </row>
    <row r="148" customHeight="true" ht="64.0">
      <c r="A148" s="2" t="n">
        <v>147.0</v>
      </c>
      <c r="B148" s="2" t="inlineStr">
        <is>
          <t>https://ir.ozone.ru/s3/multimedia-1-l/wc300/10614862209.jpg</t>
        </is>
      </c>
      <c r="C148" s="2" t="n">
        <f>IF(ISERROR(IMAGE("https://ir.ozone.ru/s3/multimedia-1-l/wc300/10614862209.jpg")),"请使用新版Excel2024查看图片",IMAGE("https://ir.ozone.ru/s3/multimedia-1-l/wc300/10614862209.jpg"))</f>
        <v>0.0</v>
      </c>
      <c r="D148" s="2" t="inlineStr">
        <is>
          <t>Lenovo Xiaoxin Pro 16GT Ноутбук 16", Intel Core Ultra 9 285H, RAM 32 ГБ, SSD 1024 ГБ, Intel Arc Graphics, Windows Pro, (83JM0001CD), серый, серебристый, Английская раскладка</t>
        </is>
      </c>
      <c r="E148" s="2" t="inlineStr">
        <is>
          <t>https://www.ozon.ru/product/4372412932</t>
        </is>
      </c>
      <c r="F148" s="2" t="n">
        <v>4.372412932E9</v>
      </c>
      <c r="G148" s="2" t="inlineStr">
        <is>
          <t>Lenovo</t>
        </is>
      </c>
      <c r="H148" s="3" t="inlineStr">
        <is>
          <t>笔记本电脑
Ноутбук</t>
        </is>
      </c>
      <c r="I148" s="3" t="inlineStr">
        <is>
          <t>跨境卖家可售</t>
        </is>
      </c>
      <c r="J148" s="2" t="inlineStr">
        <is>
          <t>86716₽</t>
        </is>
      </c>
      <c r="K148" s="2" t="n">
        <v>4.0</v>
      </c>
      <c r="L148" s="2" t="inlineStr">
        <is>
          <t>347030₽</t>
        </is>
      </c>
      <c r="M148" s="2" t="inlineStr">
        <is>
          <t>100%</t>
        </is>
      </c>
      <c r="N148" s="2" t="inlineStr">
        <is>
          <t>100%</t>
        </is>
      </c>
      <c r="O148" s="2" t="inlineStr">
        <is>
          <t>60.8%</t>
        </is>
      </c>
      <c r="P148" s="2" t="n">
        <v>1461.0</v>
      </c>
      <c r="Q148" s="2" t="n">
        <v>354.0</v>
      </c>
      <c r="R148" s="2" t="n">
        <v>351.0</v>
      </c>
      <c r="S148" s="2" t="inlineStr">
        <is>
          <t>3.41%</t>
        </is>
      </c>
      <c r="T148" s="2" t="inlineStr">
        <is>
          <t>33.3%</t>
        </is>
      </c>
      <c r="U148" s="2" t="inlineStr">
        <is>
          <t>0.0%</t>
        </is>
      </c>
      <c r="V148" s="2"/>
      <c r="W148" s="2" t="inlineStr">
        <is>
          <t>0₽</t>
        </is>
      </c>
      <c r="X148" s="2" t="n">
        <v>1.0</v>
      </c>
      <c r="Y148" s="2"/>
      <c r="Z148" s="2"/>
      <c r="AA148" s="3" t="inlineStr">
        <is>
          <t>2026-05-20
&lt; 1 个月</t>
        </is>
      </c>
      <c r="AB148" s="2" t="inlineStr">
        <is>
          <t>2576 g</t>
        </is>
      </c>
      <c r="AC148" s="2" t="inlineStr">
        <is>
          <t>28.623 L</t>
        </is>
      </c>
      <c r="AD148" s="2" t="inlineStr">
        <is>
          <t>Zorchase Shop</t>
        </is>
      </c>
      <c r="AE148" s="2" t="inlineStr">
        <is>
          <t>跨境卖家</t>
        </is>
      </c>
      <c r="AF148" s="2" t="inlineStr">
        <is>
          <t>RFBS</t>
        </is>
      </c>
      <c r="AG148" s="2" t="n">
        <v>1.0</v>
      </c>
    </row>
    <row r="149" customHeight="true" ht="64.0">
      <c r="A149" s="2" t="n">
        <v>148.0</v>
      </c>
      <c r="B149" s="2" t="inlineStr">
        <is>
          <t>https://ir.ozone.ru/s3/multimedia-1-p/wc300/11050139437.jpg</t>
        </is>
      </c>
      <c r="C149" s="2" t="n">
        <f>IF(ISERROR(IMAGE("https://ir.ozone.ru/s3/multimedia-1-p/wc300/11050139437.jpg")),"请使用新版Excel2024查看图片",IMAGE("https://ir.ozone.ru/s3/multimedia-1-p/wc300/11050139437.jpg"))</f>
        <v>0.0</v>
      </c>
      <c r="D149" s="2" t="inlineStr">
        <is>
          <t>Электросамокат mzm-20260518172552260, черный, хаки</t>
        </is>
      </c>
      <c r="E149" s="2" t="inlineStr">
        <is>
          <t>https://www.ozon.ru/product/4354215740</t>
        </is>
      </c>
      <c r="F149" s="2" t="n">
        <v>4.35421574E9</v>
      </c>
      <c r="G149" s="2" t="inlineStr">
        <is>
          <t/>
        </is>
      </c>
      <c r="H149" s="3" t="inlineStr">
        <is>
          <t>电动滑板车
Электросамокат</t>
        </is>
      </c>
      <c r="I149" s="3" t="inlineStr">
        <is>
          <t>跨境卖家可售</t>
        </is>
      </c>
      <c r="J149" s="2" t="inlineStr">
        <is>
          <t>15674₽</t>
        </is>
      </c>
      <c r="K149" s="2" t="n">
        <v>22.0</v>
      </c>
      <c r="L149" s="2" t="inlineStr">
        <is>
          <t>345050₽</t>
        </is>
      </c>
      <c r="M149" s="2" t="inlineStr">
        <is>
          <t>100%</t>
        </is>
      </c>
      <c r="N149" s="2" t="inlineStr">
        <is>
          <t>100%</t>
        </is>
      </c>
      <c r="O149" s="2" t="inlineStr">
        <is>
          <t>48.7%</t>
        </is>
      </c>
      <c r="P149" s="2" t="n">
        <v>7811.0</v>
      </c>
      <c r="Q149" s="2" t="n">
        <v>2523.0</v>
      </c>
      <c r="R149" s="2" t="n">
        <v>1824.0</v>
      </c>
      <c r="S149" s="2" t="inlineStr">
        <is>
          <t>7.18%</t>
        </is>
      </c>
      <c r="T149" s="2" t="inlineStr">
        <is>
          <t>16.8%</t>
        </is>
      </c>
      <c r="U149" s="2" t="inlineStr">
        <is>
          <t>0.0%</t>
        </is>
      </c>
      <c r="V149" s="2"/>
      <c r="W149" s="2" t="inlineStr">
        <is>
          <t>0₽</t>
        </is>
      </c>
      <c r="X149" s="2" t="n">
        <v>1.0</v>
      </c>
      <c r="Y149" s="2"/>
      <c r="Z149" s="2"/>
      <c r="AA149" s="3" t="inlineStr">
        <is>
          <t>2026-05-18
&lt; 1 个月</t>
        </is>
      </c>
      <c r="AB149" s="2" t="inlineStr">
        <is>
          <t>17000 g</t>
        </is>
      </c>
      <c r="AC149" s="2" t="inlineStr">
        <is>
          <t>97.24 L</t>
        </is>
      </c>
      <c r="AD149" s="2" t="inlineStr">
        <is>
          <t>ВостокСтиль / EastStyle</t>
        </is>
      </c>
      <c r="AE149" s="2" t="inlineStr">
        <is>
          <t>跨境卖家</t>
        </is>
      </c>
      <c r="AF149" s="2" t="inlineStr">
        <is>
          <t>RFBS</t>
        </is>
      </c>
      <c r="AG149" s="2" t="n">
        <v>13.0</v>
      </c>
    </row>
    <row r="150" customHeight="true" ht="64.0">
      <c r="A150" s="2" t="n">
        <v>149.0</v>
      </c>
      <c r="B150" s="2" t="inlineStr">
        <is>
          <t>https://ir.ozone.ru/s3/multimedia-1-v/wc300/10495047163.jpg</t>
        </is>
      </c>
      <c r="C150" s="2" t="n">
        <f>IF(ISERROR(IMAGE("https://ir.ozone.ru/s3/multimedia-1-v/wc300/10495047163.jpg")),"请使用新版Excel2024查看图片",IMAGE("https://ir.ozone.ru/s3/multimedia-1-v/wc300/10495047163.jpg"))</f>
        <v>0.0</v>
      </c>
      <c r="D150" s="2" t="inlineStr">
        <is>
          <t>Смартфон Honor 600 Pro  12/, оранжевый</t>
        </is>
      </c>
      <c r="E150" s="2" t="inlineStr">
        <is>
          <t>https://www.ozon.ru/product/4317982204</t>
        </is>
      </c>
      <c r="F150" s="2" t="n">
        <v>4.317982204E9</v>
      </c>
      <c r="G150" s="2" t="inlineStr">
        <is>
          <t/>
        </is>
      </c>
      <c r="H150" s="3" t="inlineStr">
        <is>
          <t>智能手机
Смартфон</t>
        </is>
      </c>
      <c r="I150" s="3" t="inlineStr">
        <is>
          <t>跨境卖家可售</t>
        </is>
      </c>
      <c r="J150" s="2" t="inlineStr">
        <is>
          <t>57144₽</t>
        </is>
      </c>
      <c r="K150" s="2" t="n">
        <v>6.0</v>
      </c>
      <c r="L150" s="2" t="inlineStr">
        <is>
          <t>342864₽</t>
        </is>
      </c>
      <c r="M150" s="2" t="inlineStr">
        <is>
          <t>100%</t>
        </is>
      </c>
      <c r="N150" s="2" t="inlineStr">
        <is>
          <t>100%</t>
        </is>
      </c>
      <c r="O150" s="2" t="inlineStr">
        <is>
          <t/>
        </is>
      </c>
      <c r="P150" s="2" t="n">
        <v>20436.0</v>
      </c>
      <c r="Q150" s="2" t="n">
        <v>7275.0</v>
      </c>
      <c r="R150" s="2" t="n">
        <v>4820.0</v>
      </c>
      <c r="S150" s="2" t="inlineStr">
        <is>
          <t>4.73%</t>
        </is>
      </c>
      <c r="T150" s="2" t="inlineStr">
        <is>
          <t>2.6%</t>
        </is>
      </c>
      <c r="U150" s="2" t="inlineStr">
        <is>
          <t>0.0%</t>
        </is>
      </c>
      <c r="V150" s="2"/>
      <c r="W150" s="2" t="inlineStr">
        <is>
          <t>0₽</t>
        </is>
      </c>
      <c r="X150" s="2" t="n">
        <v>1.0</v>
      </c>
      <c r="Y150" s="2"/>
      <c r="Z150" s="2"/>
      <c r="AA150" s="3" t="inlineStr">
        <is>
          <t>2026-05-15
1 个月</t>
        </is>
      </c>
      <c r="AB150" s="2" t="inlineStr">
        <is>
          <t/>
        </is>
      </c>
      <c r="AC150" s="2" t="inlineStr">
        <is>
          <t/>
        </is>
      </c>
      <c r="AD150" s="2" t="inlineStr">
        <is>
          <t>upward store</t>
        </is>
      </c>
      <c r="AE150" s="2" t="inlineStr">
        <is>
          <t>跨境卖家</t>
        </is>
      </c>
      <c r="AF150" s="2" t="inlineStr">
        <is>
          <t>RFBS</t>
        </is>
      </c>
      <c r="AG150" s="2" t="n">
        <v>0.0</v>
      </c>
    </row>
    <row r="151" customHeight="true" ht="64.0">
      <c r="A151" s="2" t="n">
        <v>150.0</v>
      </c>
      <c r="B151" s="2" t="inlineStr">
        <is>
          <t>https://ir.ozone.ru/s3/multimedia-1-q/wc300/10499061086.jpg</t>
        </is>
      </c>
      <c r="C151" s="2" t="n">
        <f>IF(ISERROR(IMAGE("https://ir.ozone.ru/s3/multimedia-1-q/wc300/10499061086.jpg")),"请使用新版Excel2024查看图片",IMAGE("https://ir.ozone.ru/s3/multimedia-1-q/wc300/10499061086.jpg"))</f>
        <v>0.0</v>
      </c>
      <c r="D151" s="2" t="inlineStr">
        <is>
          <t>Смартфон vivo mzm-20260602134309155  16/, Черный</t>
        </is>
      </c>
      <c r="E151" s="2" t="inlineStr">
        <is>
          <t>https://www.ozon.ru/product/4543691573</t>
        </is>
      </c>
      <c r="F151" s="2" t="n">
        <v>4.543691573E9</v>
      </c>
      <c r="G151" s="2" t="inlineStr">
        <is>
          <t/>
        </is>
      </c>
      <c r="H151" s="3" t="inlineStr">
        <is>
          <t>智能手机
Смартфон</t>
        </is>
      </c>
      <c r="I151" s="3" t="inlineStr">
        <is>
          <t>跨境卖家可售</t>
        </is>
      </c>
      <c r="J151" s="2" t="inlineStr">
        <is>
          <t>112956₽</t>
        </is>
      </c>
      <c r="K151" s="2" t="n">
        <v>3.0</v>
      </c>
      <c r="L151" s="2" t="inlineStr">
        <is>
          <t>338868₽</t>
        </is>
      </c>
      <c r="M151" s="2" t="inlineStr">
        <is>
          <t>100%</t>
        </is>
      </c>
      <c r="N151" s="2" t="inlineStr">
        <is>
          <t>100%</t>
        </is>
      </c>
      <c r="O151" s="2" t="inlineStr">
        <is>
          <t/>
        </is>
      </c>
      <c r="P151" s="2" t="n">
        <v>17325.0</v>
      </c>
      <c r="Q151" s="2" t="n">
        <v>1329.0</v>
      </c>
      <c r="R151" s="2" t="n">
        <v>1918.0</v>
      </c>
      <c r="S151" s="2" t="inlineStr">
        <is>
          <t>3.44%</t>
        </is>
      </c>
      <c r="T151" s="2" t="inlineStr">
        <is>
          <t>4.5%</t>
        </is>
      </c>
      <c r="U151" s="2" t="inlineStr">
        <is>
          <t>0.84%</t>
        </is>
      </c>
      <c r="V151" s="2"/>
      <c r="W151" s="2" t="inlineStr">
        <is>
          <t>0₽</t>
        </is>
      </c>
      <c r="X151" s="2" t="n">
        <v>1.0</v>
      </c>
      <c r="Y151" s="2"/>
      <c r="Z151" s="2"/>
      <c r="AA151" s="3" t="inlineStr">
        <is>
          <t>2026-06-02
&lt; 1 个月</t>
        </is>
      </c>
      <c r="AB151" s="2" t="inlineStr">
        <is>
          <t/>
        </is>
      </c>
      <c r="AC151" s="2" t="inlineStr">
        <is>
          <t/>
        </is>
      </c>
      <c r="AD151" s="2" t="inlineStr">
        <is>
          <t>Vivo Flagship Store</t>
        </is>
      </c>
      <c r="AE151" s="2" t="inlineStr">
        <is>
          <t>跨境卖家</t>
        </is>
      </c>
      <c r="AF151" s="2" t="inlineStr">
        <is>
          <t>RFBS</t>
        </is>
      </c>
      <c r="AG151" s="2" t="n">
        <v>0.0</v>
      </c>
    </row>
    <row r="152" customHeight="true" ht="64.0">
      <c r="A152" s="2" t="n">
        <v>151.0</v>
      </c>
      <c r="B152" s="2" t="inlineStr">
        <is>
          <t>https://ir.ozone.ru/s3/multimedia-1-a/wc300/10906047550.jpg</t>
        </is>
      </c>
      <c r="C152" s="2" t="n">
        <f>IF(ISERROR(IMAGE("https://ir.ozone.ru/s3/multimedia-1-a/wc300/10906047550.jpg")),"请使用新版Excel2024查看图片",IMAGE("https://ir.ozone.ru/s3/multimedia-1-a/wc300/10906047550.jpg"))</f>
        <v>0.0</v>
      </c>
      <c r="D152" s="2" t="inlineStr">
        <is>
          <t>Panini 2026 FIFA World Cup Sticker Collection Box, 50 пакетов (350 стикеров), футбольные коллекционные стикеры, Чемпионат мира 2026</t>
        </is>
      </c>
      <c r="E152" s="2" t="inlineStr">
        <is>
          <t>https://www.ozon.ru/product/4542185933</t>
        </is>
      </c>
      <c r="F152" s="2" t="n">
        <v>4.542185933E9</v>
      </c>
      <c r="G152" s="2" t="inlineStr">
        <is>
          <t/>
        </is>
      </c>
      <c r="H152" s="3" t="inlineStr">
        <is>
          <t>桌面游戏
Настольная игра</t>
        </is>
      </c>
      <c r="I152" s="3" t="inlineStr">
        <is>
          <t>跨境卖家可售</t>
        </is>
      </c>
      <c r="J152" s="2" t="inlineStr">
        <is>
          <t>2928₽</t>
        </is>
      </c>
      <c r="K152" s="2" t="n">
        <v>115.0</v>
      </c>
      <c r="L152" s="2" t="inlineStr">
        <is>
          <t>336720₽</t>
        </is>
      </c>
      <c r="M152" s="2" t="inlineStr">
        <is>
          <t>100%</t>
        </is>
      </c>
      <c r="N152" s="2" t="inlineStr">
        <is>
          <t>100%</t>
        </is>
      </c>
      <c r="O152" s="2" t="inlineStr">
        <is>
          <t>53%</t>
        </is>
      </c>
      <c r="P152" s="2" t="n">
        <v>15039.0</v>
      </c>
      <c r="Q152" s="2" t="n">
        <v>7250.0</v>
      </c>
      <c r="R152" s="2" t="n">
        <v>3053.0</v>
      </c>
      <c r="S152" s="2" t="inlineStr">
        <is>
          <t>8.15%</t>
        </is>
      </c>
      <c r="T152" s="2" t="inlineStr">
        <is>
          <t>46.2%</t>
        </is>
      </c>
      <c r="U152" s="2" t="inlineStr">
        <is>
          <t>0.78%</t>
        </is>
      </c>
      <c r="V152" s="2"/>
      <c r="W152" s="2" t="inlineStr">
        <is>
          <t>0₽</t>
        </is>
      </c>
      <c r="X152" s="2" t="n">
        <v>1.0</v>
      </c>
      <c r="Y152" s="2"/>
      <c r="Z152" s="2"/>
      <c r="AA152" s="3" t="inlineStr">
        <is>
          <t>2026-06-02
&lt; 1 个月</t>
        </is>
      </c>
      <c r="AB152" s="2" t="inlineStr">
        <is>
          <t>350 g</t>
        </is>
      </c>
      <c r="AC152" s="2" t="inlineStr">
        <is>
          <t>2 L</t>
        </is>
      </c>
      <c r="AD152" s="2" t="inlineStr">
        <is>
          <t>Hush Puppies</t>
        </is>
      </c>
      <c r="AE152" s="2" t="inlineStr">
        <is>
          <t>跨境卖家</t>
        </is>
      </c>
      <c r="AF152" s="2" t="inlineStr">
        <is>
          <t>RFBS</t>
        </is>
      </c>
      <c r="AG152" s="2" t="n">
        <v>0.0</v>
      </c>
    </row>
    <row r="153" customHeight="true" ht="64.0">
      <c r="A153" s="2" t="n">
        <v>152.0</v>
      </c>
      <c r="B153" s="2" t="inlineStr">
        <is>
          <t>https://ir.ozone.ru/s3/multimedia-1-d/wc300/10543916929.jpg</t>
        </is>
      </c>
      <c r="C153" s="2" t="n">
        <f>IF(ISERROR(IMAGE("https://ir.ozone.ru/s3/multimedia-1-d/wc300/10543916929.jpg")),"请使用新版Excel2024查看图片",IMAGE("https://ir.ozone.ru/s3/multimedia-1-d/wc300/10543916929.jpg"))</f>
        <v>0.0</v>
      </c>
      <c r="D153" s="2" t="inlineStr">
        <is>
          <t xml:space="preserve"> Игровой ноутбук MECHREVO 019e404182f172f0b6a85e960b493c5b, AMD Ryzen 9 7845HX, RAM16 ГБ, SSD 1024 ГБ NVIDIA GeForce RTX, Windows Pro, черный матовый</t>
        </is>
      </c>
      <c r="E153" s="2" t="inlineStr">
        <is>
          <t>https://www.ozon.ru/product/4341840647</t>
        </is>
      </c>
      <c r="F153" s="2" t="n">
        <v>4.341840647E9</v>
      </c>
      <c r="G153" s="2" t="inlineStr">
        <is>
          <t/>
        </is>
      </c>
      <c r="H153" s="3" t="inlineStr">
        <is>
          <t>游戏笔记本电脑
Игровой ноутбук</t>
        </is>
      </c>
      <c r="I153" s="3" t="inlineStr">
        <is>
          <t>跨境卖家可售</t>
        </is>
      </c>
      <c r="J153" s="2" t="inlineStr">
        <is>
          <t>112182₽</t>
        </is>
      </c>
      <c r="K153" s="2" t="n">
        <v>3.0</v>
      </c>
      <c r="L153" s="2" t="inlineStr">
        <is>
          <t>336546₽</t>
        </is>
      </c>
      <c r="M153" s="2" t="inlineStr">
        <is>
          <t>100%</t>
        </is>
      </c>
      <c r="N153" s="2" t="inlineStr">
        <is>
          <t>100%</t>
        </is>
      </c>
      <c r="O153" s="2" t="inlineStr">
        <is>
          <t/>
        </is>
      </c>
      <c r="P153" s="2" t="n">
        <v>22253.0</v>
      </c>
      <c r="Q153" s="2" t="n">
        <v>11943.0</v>
      </c>
      <c r="R153" s="2" t="n">
        <v>2014.0</v>
      </c>
      <c r="S153" s="2" t="inlineStr">
        <is>
          <t>5.11%</t>
        </is>
      </c>
      <c r="T153" s="2" t="inlineStr">
        <is>
          <t>2.9%</t>
        </is>
      </c>
      <c r="U153" s="2" t="inlineStr">
        <is>
          <t>1.94%</t>
        </is>
      </c>
      <c r="V153" s="2"/>
      <c r="W153" s="2" t="inlineStr">
        <is>
          <t>0₽</t>
        </is>
      </c>
      <c r="X153" s="2" t="n">
        <v>1.0</v>
      </c>
      <c r="Y153" s="2"/>
      <c r="Z153" s="2"/>
      <c r="AA153" s="3" t="inlineStr">
        <is>
          <t>2026-05-17
&lt; 1 个月</t>
        </is>
      </c>
      <c r="AB153" s="2" t="inlineStr">
        <is>
          <t/>
        </is>
      </c>
      <c r="AC153" s="2" t="inlineStr">
        <is>
          <t/>
        </is>
      </c>
      <c r="AD153" s="2" t="inlineStr">
        <is>
          <t>H-B</t>
        </is>
      </c>
      <c r="AE153" s="2" t="inlineStr">
        <is>
          <t>跨境卖家</t>
        </is>
      </c>
      <c r="AF153" s="2" t="inlineStr">
        <is>
          <t>RFBS</t>
        </is>
      </c>
      <c r="AG153" s="2" t="n">
        <v>0.0</v>
      </c>
    </row>
    <row r="154" customHeight="true" ht="64.0">
      <c r="A154" s="2" t="n">
        <v>153.0</v>
      </c>
      <c r="B154" s="2" t="inlineStr">
        <is>
          <t>https://ir.ozone.ru/s3/multimedia-1-9/wc300/10901892609.jpg</t>
        </is>
      </c>
      <c r="C154" s="2" t="n">
        <f>IF(ISERROR(IMAGE("https://ir.ozone.ru/s3/multimedia-1-9/wc300/10901892609.jpg")),"请使用新版Excel2024查看图片",IMAGE("https://ir.ozone.ru/s3/multimedia-1-9/wc300/10901892609.jpg"))</f>
        <v>0.0</v>
      </c>
      <c r="D154" s="2" t="inlineStr">
        <is>
          <t>Телескопическая указка для преподавания с ударной функцией, для походов</t>
        </is>
      </c>
      <c r="E154" s="2" t="inlineStr">
        <is>
          <t>https://www.ozon.ru/product/4483424224</t>
        </is>
      </c>
      <c r="F154" s="2" t="n">
        <v>4.483424224E9</v>
      </c>
      <c r="G154" s="2" t="inlineStr">
        <is>
          <t/>
        </is>
      </c>
      <c r="H154" s="3" t="inlineStr">
        <is>
          <t>指示棍
Указка</t>
        </is>
      </c>
      <c r="I154" s="3" t="inlineStr">
        <is>
          <t>跨境卖家可售</t>
        </is>
      </c>
      <c r="J154" s="2" t="inlineStr">
        <is>
          <t>560₽</t>
        </is>
      </c>
      <c r="K154" s="2" t="n">
        <v>599.0</v>
      </c>
      <c r="L154" s="2" t="inlineStr">
        <is>
          <t>335440₽</t>
        </is>
      </c>
      <c r="M154" s="2" t="inlineStr">
        <is>
          <t>100%</t>
        </is>
      </c>
      <c r="N154" s="2" t="inlineStr">
        <is>
          <t>100%</t>
        </is>
      </c>
      <c r="O154" s="2" t="inlineStr">
        <is>
          <t/>
        </is>
      </c>
      <c r="P154" s="2" t="n">
        <v>46348.0</v>
      </c>
      <c r="Q154" s="2" t="n">
        <v>2146.0</v>
      </c>
      <c r="R154" s="2" t="n">
        <v>27907.0</v>
      </c>
      <c r="S154" s="2" t="inlineStr">
        <is>
          <t>23.37%</t>
        </is>
      </c>
      <c r="T154" s="2" t="inlineStr">
        <is>
          <t>9.2%</t>
        </is>
      </c>
      <c r="U154" s="2" t="inlineStr">
        <is>
          <t>0.34%</t>
        </is>
      </c>
      <c r="V154" s="2"/>
      <c r="W154" s="2" t="inlineStr">
        <is>
          <t>0₽</t>
        </is>
      </c>
      <c r="X154" s="2" t="n">
        <v>1.0</v>
      </c>
      <c r="Y154" s="2"/>
      <c r="Z154" s="2"/>
      <c r="AA154" s="3" t="inlineStr">
        <is>
          <t>2026-05-28
&lt; 1 个月</t>
        </is>
      </c>
      <c r="AB154" s="2" t="inlineStr">
        <is>
          <t/>
        </is>
      </c>
      <c r="AC154" s="2" t="inlineStr">
        <is>
          <t/>
        </is>
      </c>
      <c r="AD154" s="2" t="inlineStr">
        <is>
          <t>Juxia-08</t>
        </is>
      </c>
      <c r="AE154" s="2" t="inlineStr">
        <is>
          <t>跨境卖家</t>
        </is>
      </c>
      <c r="AF154" s="2" t="inlineStr">
        <is>
          <t>RFBS</t>
        </is>
      </c>
      <c r="AG154" s="2" t="n">
        <v>0.0</v>
      </c>
    </row>
    <row r="155" customHeight="true" ht="64.0">
      <c r="A155" s="2" t="n">
        <v>154.0</v>
      </c>
      <c r="B155" s="2" t="inlineStr">
        <is>
          <t>https://ir.ozone.ru/s3/multimedia-1-l/wc300/10494976557.jpg</t>
        </is>
      </c>
      <c r="C155" s="2" t="n">
        <f>IF(ISERROR(IMAGE("https://ir.ozone.ru/s3/multimedia-1-l/wc300/10494976557.jpg")),"请使用新版Excel2024查看图片",IMAGE("https://ir.ozone.ru/s3/multimedia-1-l/wc300/10494976557.jpg"))</f>
        <v>0.0</v>
      </c>
      <c r="D155" s="2" t="inlineStr">
        <is>
          <t>LEGO ICONS 11377 Властелин колец: Минaс-Тирит</t>
        </is>
      </c>
      <c r="E155" s="2" t="inlineStr">
        <is>
          <t>https://www.ozon.ru/product/4315679249</t>
        </is>
      </c>
      <c r="F155" s="2" t="n">
        <v>4.315679249E9</v>
      </c>
      <c r="G155" s="2" t="inlineStr">
        <is>
          <t>LEGO</t>
        </is>
      </c>
      <c r="H155" s="3" t="inlineStr">
        <is>
          <t>积木
Конструктор</t>
        </is>
      </c>
      <c r="I155" s="3" t="inlineStr">
        <is>
          <t>跨境卖家可售</t>
        </is>
      </c>
      <c r="J155" s="2" t="inlineStr">
        <is>
          <t>64754₽</t>
        </is>
      </c>
      <c r="K155" s="2" t="n">
        <v>5.0</v>
      </c>
      <c r="L155" s="2" t="inlineStr">
        <is>
          <t>334482₽</t>
        </is>
      </c>
      <c r="M155" s="2" t="inlineStr">
        <is>
          <t>100%</t>
        </is>
      </c>
      <c r="N155" s="2" t="inlineStr">
        <is>
          <t>100%</t>
        </is>
      </c>
      <c r="O155" s="2" t="inlineStr">
        <is>
          <t/>
        </is>
      </c>
      <c r="P155" s="2" t="n">
        <v>4092.0</v>
      </c>
      <c r="Q155" s="2" t="n">
        <v>355.0</v>
      </c>
      <c r="R155" s="2" t="n">
        <v>762.0</v>
      </c>
      <c r="S155" s="2" t="inlineStr">
        <is>
          <t>3.54%</t>
        </is>
      </c>
      <c r="T155" s="2" t="inlineStr">
        <is>
          <t>18.5%</t>
        </is>
      </c>
      <c r="U155" s="2" t="inlineStr">
        <is>
          <t>0.0%</t>
        </is>
      </c>
      <c r="V155" s="2"/>
      <c r="W155" s="2" t="inlineStr">
        <is>
          <t>0₽</t>
        </is>
      </c>
      <c r="X155" s="2" t="n">
        <v>1.0</v>
      </c>
      <c r="Y155" s="2"/>
      <c r="Z155" s="2" t="inlineStr">
        <is>
          <t>4.9</t>
        </is>
      </c>
      <c r="AA155" s="3" t="inlineStr">
        <is>
          <t>2026-05-15
1 个月</t>
        </is>
      </c>
      <c r="AB155" s="2" t="inlineStr">
        <is>
          <t/>
        </is>
      </c>
      <c r="AC155" s="2" t="inlineStr">
        <is>
          <t/>
        </is>
      </c>
      <c r="AD155" s="2" t="inlineStr">
        <is>
          <t>LUCKY-TOYS</t>
        </is>
      </c>
      <c r="AE155" s="2" t="inlineStr">
        <is>
          <t>跨境卖家</t>
        </is>
      </c>
      <c r="AF155" s="2" t="inlineStr">
        <is>
          <t>RFBS</t>
        </is>
      </c>
      <c r="AG155" s="2" t="n">
        <v>0.0</v>
      </c>
    </row>
    <row r="156" customHeight="true" ht="64.0">
      <c r="A156" s="2" t="n">
        <v>155.0</v>
      </c>
      <c r="B156" s="2" t="inlineStr">
        <is>
          <t>https://ir.ozone.ru/s3/multimedia-1-s/wc300/10564278076.jpg</t>
        </is>
      </c>
      <c r="C156" s="2" t="n">
        <f>IF(ISERROR(IMAGE("https://ir.ozone.ru/s3/multimedia-1-s/wc300/10564278076.jpg")),"请使用新版Excel2024查看图片",IMAGE("https://ir.ozone.ru/s3/multimedia-1-s/wc300/10564278076.jpg"))</f>
        <v>0.0</v>
      </c>
      <c r="D156" s="2" t="inlineStr">
        <is>
          <t>Конструктор LEGO Icons 40893 Властелин колец: Гронд</t>
        </is>
      </c>
      <c r="E156" s="2" t="inlineStr">
        <is>
          <t>https://www.ozon.ru/product/4338073797</t>
        </is>
      </c>
      <c r="F156" s="2" t="n">
        <v>4.338073797E9</v>
      </c>
      <c r="G156" s="2" t="inlineStr">
        <is>
          <t>LEGO</t>
        </is>
      </c>
      <c r="H156" s="3" t="inlineStr">
        <is>
          <t>积木
Конструктор</t>
        </is>
      </c>
      <c r="I156" s="3" t="inlineStr">
        <is>
          <t>跨境卖家可售</t>
        </is>
      </c>
      <c r="J156" s="2" t="inlineStr">
        <is>
          <t>15490₽</t>
        </is>
      </c>
      <c r="K156" s="2" t="n">
        <v>21.0</v>
      </c>
      <c r="L156" s="2" t="inlineStr">
        <is>
          <t>334447₽</t>
        </is>
      </c>
      <c r="M156" s="2" t="inlineStr">
        <is>
          <t>100%</t>
        </is>
      </c>
      <c r="N156" s="2" t="inlineStr">
        <is>
          <t>100%</t>
        </is>
      </c>
      <c r="O156" s="2" t="inlineStr">
        <is>
          <t>50.2%</t>
        </is>
      </c>
      <c r="P156" s="2" t="n">
        <v>12679.0</v>
      </c>
      <c r="Q156" s="2" t="n">
        <v>2682.0</v>
      </c>
      <c r="R156" s="2" t="n">
        <v>1529.0</v>
      </c>
      <c r="S156" s="2" t="inlineStr">
        <is>
          <t>3.27%</t>
        </is>
      </c>
      <c r="T156" s="2" t="inlineStr">
        <is>
          <t>42.0%</t>
        </is>
      </c>
      <c r="U156" s="2" t="inlineStr">
        <is>
          <t>0.0%</t>
        </is>
      </c>
      <c r="V156" s="2"/>
      <c r="W156" s="2" t="inlineStr">
        <is>
          <t>0₽</t>
        </is>
      </c>
      <c r="X156" s="2" t="n">
        <v>1.0</v>
      </c>
      <c r="Y156" s="2" t="n">
        <v>1751.0</v>
      </c>
      <c r="Z156" s="2" t="inlineStr">
        <is>
          <t>5.0</t>
        </is>
      </c>
      <c r="AA156" s="3" t="inlineStr">
        <is>
          <t>2026-05-17
&lt; 1 个月</t>
        </is>
      </c>
      <c r="AB156" s="2" t="inlineStr">
        <is>
          <t>800 g</t>
        </is>
      </c>
      <c r="AC156" s="2" t="inlineStr">
        <is>
          <t>3.053 L</t>
        </is>
      </c>
      <c r="AD156" s="2" t="inlineStr">
        <is>
          <t>LeYi Toys</t>
        </is>
      </c>
      <c r="AE156" s="2" t="inlineStr">
        <is>
          <t>跨境卖家</t>
        </is>
      </c>
      <c r="AF156" s="2" t="inlineStr">
        <is>
          <t>RFBS</t>
        </is>
      </c>
      <c r="AG156" s="2" t="n">
        <v>1.0</v>
      </c>
    </row>
    <row r="157" customHeight="true" ht="64.0">
      <c r="A157" s="2" t="n">
        <v>156.0</v>
      </c>
      <c r="B157" s="2" t="inlineStr">
        <is>
          <t>https://ir.ozone.ru/s3/multimedia-1-g/wc300/10500624952.jpg</t>
        </is>
      </c>
      <c r="C157" s="2" t="n">
        <f>IF(ISERROR(IMAGE("https://ir.ozone.ru/s3/multimedia-1-g/wc300/10500624952.jpg")),"请使用新版Excel2024查看图片",IMAGE("https://ir.ozone.ru/s3/multimedia-1-g/wc300/10500624952.jpg"))</f>
        <v>0.0</v>
      </c>
      <c r="D157" s="2" t="inlineStr">
        <is>
          <t xml:space="preserve"> Игровой ноутбук MECHREVO 019e158a9eb4791da718aa054eb02f01, Intel Core i9-13900HX, RAM16 ГБ, SSD 1024 ГБ NVIDIA GeForce RTX, (Бесплатная лазерная гравировка русской раскладки клавиатуры), черный матовый</t>
        </is>
      </c>
      <c r="E157" s="2" t="inlineStr">
        <is>
          <t>https://www.ozon.ru/product/4320146664</t>
        </is>
      </c>
      <c r="F157" s="2" t="n">
        <v>4.320146664E9</v>
      </c>
      <c r="G157" s="2" t="inlineStr">
        <is>
          <t/>
        </is>
      </c>
      <c r="H157" s="3" t="inlineStr">
        <is>
          <t>游戏笔记本电脑
Игровой ноутбук</t>
        </is>
      </c>
      <c r="I157" s="3" t="inlineStr">
        <is>
          <t>跨境卖家可售</t>
        </is>
      </c>
      <c r="J157" s="2" t="inlineStr">
        <is>
          <t>111378₽</t>
        </is>
      </c>
      <c r="K157" s="2" t="n">
        <v>3.0</v>
      </c>
      <c r="L157" s="2" t="inlineStr">
        <is>
          <t>334134₽</t>
        </is>
      </c>
      <c r="M157" s="2" t="inlineStr">
        <is>
          <t>100%</t>
        </is>
      </c>
      <c r="N157" s="2" t="inlineStr">
        <is>
          <t>100%</t>
        </is>
      </c>
      <c r="O157" s="2" t="inlineStr">
        <is>
          <t/>
        </is>
      </c>
      <c r="P157" s="2" t="n">
        <v>9212.0</v>
      </c>
      <c r="Q157" s="2" t="n">
        <v>4611.0</v>
      </c>
      <c r="R157" s="2" t="n">
        <v>1031.0</v>
      </c>
      <c r="S157" s="2" t="inlineStr">
        <is>
          <t>5.62%</t>
        </is>
      </c>
      <c r="T157" s="2" t="inlineStr">
        <is>
          <t>5.2%</t>
        </is>
      </c>
      <c r="U157" s="2" t="inlineStr">
        <is>
          <t>0.32%</t>
        </is>
      </c>
      <c r="V157" s="2"/>
      <c r="W157" s="2" t="inlineStr">
        <is>
          <t>0₽</t>
        </is>
      </c>
      <c r="X157" s="2" t="n">
        <v>1.0</v>
      </c>
      <c r="Y157" s="2"/>
      <c r="Z157" s="2"/>
      <c r="AA157" s="3" t="inlineStr">
        <is>
          <t>2026-05-15
1 个月</t>
        </is>
      </c>
      <c r="AB157" s="2" t="inlineStr">
        <is>
          <t/>
        </is>
      </c>
      <c r="AC157" s="2" t="inlineStr">
        <is>
          <t/>
        </is>
      </c>
      <c r="AD157" s="2" t="inlineStr">
        <is>
          <t>геймер Online Store</t>
        </is>
      </c>
      <c r="AE157" s="2" t="inlineStr">
        <is>
          <t>跨境卖家</t>
        </is>
      </c>
      <c r="AF157" s="2" t="inlineStr">
        <is>
          <t>RFBS</t>
        </is>
      </c>
      <c r="AG157" s="2" t="n">
        <v>0.0</v>
      </c>
    </row>
    <row r="158" customHeight="true" ht="64.0">
      <c r="A158" s="2" t="n">
        <v>157.0</v>
      </c>
      <c r="B158" s="2" t="inlineStr">
        <is>
          <t>https://ir.ozone.ru/s3/multimedia-1-v/wc300/11233680799.jpg</t>
        </is>
      </c>
      <c r="C158" s="2" t="n">
        <f>IF(ISERROR(IMAGE("https://ir.ozone.ru/s3/multimedia-1-v/wc300/11233680799.jpg")),"请使用新版Excel2024查看图片",IMAGE("https://ir.ozone.ru/s3/multimedia-1-v/wc300/11233680799.jpg"))</f>
        <v>0.0</v>
      </c>
      <c r="D158" s="2" t="inlineStr">
        <is>
          <t>Bambu AMS 2 Pro Автоматическая система подачи, интеллектуальное многоцветное обновление и обновление нескольких материалов Сушка новых продуктов</t>
        </is>
      </c>
      <c r="E158" s="2" t="inlineStr">
        <is>
          <t>https://www.ozon.ru/product/4351286902</t>
        </is>
      </c>
      <c r="F158" s="2" t="n">
        <v>4.351286902E9</v>
      </c>
      <c r="G158" s="2" t="inlineStr">
        <is>
          <t/>
        </is>
      </c>
      <c r="H158" s="3" t="inlineStr">
        <is>
          <t>3D打印笔配件
Аксессуар для 3D-ручки</t>
        </is>
      </c>
      <c r="I158" s="3" t="inlineStr">
        <is>
          <t>跨境卖家可售</t>
        </is>
      </c>
      <c r="J158" s="2" t="inlineStr">
        <is>
          <t>19133₽</t>
        </is>
      </c>
      <c r="K158" s="2" t="n">
        <v>17.0</v>
      </c>
      <c r="L158" s="2" t="inlineStr">
        <is>
          <t>332596₽</t>
        </is>
      </c>
      <c r="M158" s="2" t="inlineStr">
        <is>
          <t>100%</t>
        </is>
      </c>
      <c r="N158" s="2" t="inlineStr">
        <is>
          <t>100%</t>
        </is>
      </c>
      <c r="O158" s="2" t="inlineStr">
        <is>
          <t>52%</t>
        </is>
      </c>
      <c r="P158" s="2" t="n">
        <v>5568.0</v>
      </c>
      <c r="Q158" s="2" t="n">
        <v>270.0</v>
      </c>
      <c r="R158" s="2" t="n">
        <v>2672.0</v>
      </c>
      <c r="S158" s="2" t="inlineStr">
        <is>
          <t>2.73%</t>
        </is>
      </c>
      <c r="T158" s="2" t="inlineStr">
        <is>
          <t>23.3%</t>
        </is>
      </c>
      <c r="U158" s="2" t="inlineStr">
        <is>
          <t>0.0%</t>
        </is>
      </c>
      <c r="V158" s="2"/>
      <c r="W158" s="2" t="inlineStr">
        <is>
          <t>0₽</t>
        </is>
      </c>
      <c r="X158" s="2" t="n">
        <v>3.0</v>
      </c>
      <c r="Y158" s="2" t="n">
        <v>85.0</v>
      </c>
      <c r="Z158" s="2" t="inlineStr">
        <is>
          <t>4.8</t>
        </is>
      </c>
      <c r="AA158" s="3" t="inlineStr">
        <is>
          <t>2026-05-18
&lt; 1 个月</t>
        </is>
      </c>
      <c r="AB158" s="2" t="inlineStr">
        <is>
          <t>3700 g</t>
        </is>
      </c>
      <c r="AC158" s="2" t="inlineStr">
        <is>
          <t>42.367 L</t>
        </is>
      </c>
      <c r="AD158" s="2" t="inlineStr">
        <is>
          <t>sumaotong</t>
        </is>
      </c>
      <c r="AE158" s="2" t="inlineStr">
        <is>
          <t>跨境卖家</t>
        </is>
      </c>
      <c r="AF158" s="2" t="inlineStr">
        <is>
          <t>RFBS</t>
        </is>
      </c>
      <c r="AG158" s="2" t="n">
        <v>69.0</v>
      </c>
    </row>
    <row r="159" customHeight="true" ht="64.0">
      <c r="A159" s="2" t="n">
        <v>158.0</v>
      </c>
      <c r="B159" s="2" t="inlineStr">
        <is>
          <t>https://ir.ozone.ru/s3/multimedia-1-4/wc300/10700037616.jpg</t>
        </is>
      </c>
      <c r="C159" s="2" t="n">
        <f>IF(ISERROR(IMAGE("https://ir.ozone.ru/s3/multimedia-1-4/wc300/10700037616.jpg")),"请使用新版Excel2024查看图片",IMAGE("https://ir.ozone.ru/s3/multimedia-1-4/wc300/10700037616.jpg"))</f>
        <v>0.0</v>
      </c>
      <c r="D159" s="2" t="inlineStr">
        <is>
          <t>Электровелосипед 2026, 400 Вт</t>
        </is>
      </c>
      <c r="E159" s="2" t="inlineStr">
        <is>
          <t>https://www.ozon.ru/product/4403867900</t>
        </is>
      </c>
      <c r="F159" s="2" t="n">
        <v>4.4038679E9</v>
      </c>
      <c r="G159" s="2" t="inlineStr">
        <is>
          <t/>
        </is>
      </c>
      <c r="H159" s="3" t="inlineStr">
        <is>
          <t>电动自行车
Электровелосипед</t>
        </is>
      </c>
      <c r="I159" s="3" t="inlineStr">
        <is>
          <t>跨境卖家可售</t>
        </is>
      </c>
      <c r="J159" s="2" t="inlineStr">
        <is>
          <t>36747₽</t>
        </is>
      </c>
      <c r="K159" s="2" t="n">
        <v>9.0</v>
      </c>
      <c r="L159" s="2" t="inlineStr">
        <is>
          <t>328995₽</t>
        </is>
      </c>
      <c r="M159" s="2" t="inlineStr">
        <is>
          <t>100%</t>
        </is>
      </c>
      <c r="N159" s="2" t="inlineStr">
        <is>
          <t>100%</t>
        </is>
      </c>
      <c r="O159" s="2" t="inlineStr">
        <is>
          <t>53.5%</t>
        </is>
      </c>
      <c r="P159" s="2" t="n">
        <v>31266.0</v>
      </c>
      <c r="Q159" s="2" t="n">
        <v>21258.0</v>
      </c>
      <c r="R159" s="2" t="n">
        <v>3912.0</v>
      </c>
      <c r="S159" s="2" t="inlineStr">
        <is>
          <t>5.34%</t>
        </is>
      </c>
      <c r="T159" s="2" t="inlineStr">
        <is>
          <t>4.3%</t>
        </is>
      </c>
      <c r="U159" s="2" t="inlineStr">
        <is>
          <t>0.6%</t>
        </is>
      </c>
      <c r="V159" s="2"/>
      <c r="W159" s="2" t="inlineStr">
        <is>
          <t>0₽</t>
        </is>
      </c>
      <c r="X159" s="2" t="n">
        <v>1.0</v>
      </c>
      <c r="Y159" s="2"/>
      <c r="Z159" s="2"/>
      <c r="AA159" s="3" t="inlineStr">
        <is>
          <t>2026-05-22
&lt; 1 个月</t>
        </is>
      </c>
      <c r="AB159" s="2" t="inlineStr">
        <is>
          <t>29000 g</t>
        </is>
      </c>
      <c r="AC159" s="2" t="inlineStr">
        <is>
          <t>235.2 L</t>
        </is>
      </c>
      <c r="AD159" s="2" t="inlineStr">
        <is>
          <t>Ranpang</t>
        </is>
      </c>
      <c r="AE159" s="2" t="inlineStr">
        <is>
          <t>跨境卖家</t>
        </is>
      </c>
      <c r="AF159" s="2" t="inlineStr">
        <is>
          <t>RFBS</t>
        </is>
      </c>
      <c r="AG159" s="2" t="n">
        <v>0.0</v>
      </c>
    </row>
    <row r="160" customHeight="true" ht="64.0">
      <c r="A160" s="2" t="n">
        <v>159.0</v>
      </c>
      <c r="B160" s="2" t="inlineStr">
        <is>
          <t>https://ir.ozone.ru/s3/multimedia-1-w/wc300/10566725468.jpg</t>
        </is>
      </c>
      <c r="C160" s="2" t="n">
        <f>IF(ISERROR(IMAGE("https://ir.ozone.ru/s3/multimedia-1-w/wc300/10566725468.jpg")),"请使用新版Excel2024查看图片",IMAGE("https://ir.ozone.ru/s3/multimedia-1-w/wc300/10566725468.jpg"))</f>
        <v>0.0</v>
      </c>
      <c r="D160" s="2" t="inlineStr">
        <is>
          <t>Багажный бокс, Аэродинамическая поперечина, объем: 700 л, 202 см</t>
        </is>
      </c>
      <c r="E160" s="2" t="inlineStr">
        <is>
          <t>https://www.ozon.ru/product/4353943657</t>
        </is>
      </c>
      <c r="F160" s="2" t="n">
        <v>4.353943657E9</v>
      </c>
      <c r="G160" s="2" t="inlineStr">
        <is>
          <t/>
        </is>
      </c>
      <c r="H160" s="3" t="inlineStr">
        <is>
          <t>车顶行李箱
Багажный бокс</t>
        </is>
      </c>
      <c r="I160" s="3" t="inlineStr">
        <is>
          <t>跨境卖家可售</t>
        </is>
      </c>
      <c r="J160" s="2" t="inlineStr">
        <is>
          <t>21622₽</t>
        </is>
      </c>
      <c r="K160" s="2" t="n">
        <v>15.0</v>
      </c>
      <c r="L160" s="2" t="inlineStr">
        <is>
          <t>327410₽</t>
        </is>
      </c>
      <c r="M160" s="2" t="inlineStr">
        <is>
          <t>100%</t>
        </is>
      </c>
      <c r="N160" s="2" t="inlineStr">
        <is>
          <t>100%</t>
        </is>
      </c>
      <c r="O160" s="2" t="inlineStr">
        <is>
          <t>51.1%</t>
        </is>
      </c>
      <c r="P160" s="2" t="n">
        <v>29387.0</v>
      </c>
      <c r="Q160" s="2" t="n">
        <v>16726.0</v>
      </c>
      <c r="R160" s="2" t="n">
        <v>3965.0</v>
      </c>
      <c r="S160" s="2" t="inlineStr">
        <is>
          <t>4.94%</t>
        </is>
      </c>
      <c r="T160" s="2" t="inlineStr">
        <is>
          <t>7.7%</t>
        </is>
      </c>
      <c r="U160" s="2" t="inlineStr">
        <is>
          <t>1.04%</t>
        </is>
      </c>
      <c r="V160" s="2"/>
      <c r="W160" s="2" t="inlineStr">
        <is>
          <t>0₽</t>
        </is>
      </c>
      <c r="X160" s="2" t="n">
        <v>14.0</v>
      </c>
      <c r="Y160" s="2" t="n">
        <v>293.0</v>
      </c>
      <c r="Z160" s="2" t="inlineStr">
        <is>
          <t>4.8</t>
        </is>
      </c>
      <c r="AA160" s="3" t="inlineStr">
        <is>
          <t>2026-05-18
&lt; 1 个月</t>
        </is>
      </c>
      <c r="AB160" s="2" t="inlineStr">
        <is>
          <t>19000 g</t>
        </is>
      </c>
      <c r="AC160" s="2" t="inlineStr">
        <is>
          <t>456 L</t>
        </is>
      </c>
      <c r="AD160" s="2" t="inlineStr">
        <is>
          <t>JING-STORE</t>
        </is>
      </c>
      <c r="AE160" s="2" t="inlineStr">
        <is>
          <t>跨境卖家</t>
        </is>
      </c>
      <c r="AF160" s="2" t="inlineStr">
        <is>
          <t>RFBS</t>
        </is>
      </c>
      <c r="AG160" s="2" t="n">
        <v>179.0</v>
      </c>
    </row>
    <row r="161" customHeight="true" ht="64.0">
      <c r="A161" s="2" t="n">
        <v>160.0</v>
      </c>
      <c r="B161" s="2" t="inlineStr">
        <is>
          <t>https://ir.ozone.ru/s3/multimedia-1-r/wc300/10985808879.jpg</t>
        </is>
      </c>
      <c r="C161" s="2" t="n">
        <f>IF(ISERROR(IMAGE("https://ir.ozone.ru/s3/multimedia-1-r/wc300/10985808879.jpg")),"请使用新版Excel2024查看图片",IMAGE("https://ir.ozone.ru/s3/multimedia-1-r/wc300/10985808879.jpg"))</f>
        <v>0.0</v>
      </c>
      <c r="D161" s="2" t="inlineStr">
        <is>
          <t>Основной блок MHO954 (500 МГц, 4 канала)</t>
        </is>
      </c>
      <c r="E161" s="2" t="inlineStr">
        <is>
          <t>https://www.ozon.ru/product/4518290833</t>
        </is>
      </c>
      <c r="F161" s="2" t="n">
        <v>4.518290833E9</v>
      </c>
      <c r="G161" s="2" t="inlineStr">
        <is>
          <t/>
        </is>
      </c>
      <c r="H161" s="3" t="inlineStr">
        <is>
          <t>参比电极
Электрод сравнения</t>
        </is>
      </c>
      <c r="I161" s="3" t="inlineStr">
        <is>
          <t>跨境卖家可售</t>
        </is>
      </c>
      <c r="J161" s="2" t="inlineStr">
        <is>
          <t>81470₽</t>
        </is>
      </c>
      <c r="K161" s="2" t="n">
        <v>4.0</v>
      </c>
      <c r="L161" s="2" t="inlineStr">
        <is>
          <t>325880₽</t>
        </is>
      </c>
      <c r="M161" s="2" t="inlineStr">
        <is>
          <t>100%</t>
        </is>
      </c>
      <c r="N161" s="2" t="inlineStr">
        <is>
          <t>100%</t>
        </is>
      </c>
      <c r="O161" s="2" t="inlineStr">
        <is>
          <t>51.8%</t>
        </is>
      </c>
      <c r="P161" s="2" t="n">
        <v>1414.0</v>
      </c>
      <c r="Q161" s="2" t="n">
        <v>269.0</v>
      </c>
      <c r="R161" s="2" t="n">
        <v>302.0</v>
      </c>
      <c r="S161" s="2" t="inlineStr">
        <is>
          <t>4.63%</t>
        </is>
      </c>
      <c r="T161" s="2" t="inlineStr">
        <is>
          <t>28.6%</t>
        </is>
      </c>
      <c r="U161" s="2" t="inlineStr">
        <is>
          <t>0.0%</t>
        </is>
      </c>
      <c r="V161" s="2"/>
      <c r="W161" s="2" t="inlineStr">
        <is>
          <t>0₽</t>
        </is>
      </c>
      <c r="X161" s="2" t="n">
        <v>1.0</v>
      </c>
      <c r="Y161" s="2"/>
      <c r="Z161" s="2"/>
      <c r="AA161" s="3" t="inlineStr">
        <is>
          <t>2026-05-31
&lt; 1 个月</t>
        </is>
      </c>
      <c r="AB161" s="2" t="inlineStr">
        <is>
          <t>3000 g</t>
        </is>
      </c>
      <c r="AC161" s="2" t="inlineStr">
        <is>
          <t>5.4 L</t>
        </is>
      </c>
      <c r="AD161" s="2" t="inlineStr">
        <is>
          <t>guojiayuwangpu</t>
        </is>
      </c>
      <c r="AE161" s="2" t="inlineStr">
        <is>
          <t>跨境卖家</t>
        </is>
      </c>
      <c r="AF161" s="2" t="inlineStr">
        <is>
          <t>RFBS</t>
        </is>
      </c>
      <c r="AG161" s="2" t="n">
        <v>0.0</v>
      </c>
    </row>
    <row r="162" customHeight="true" ht="64.0">
      <c r="A162" s="2" t="n">
        <v>161.0</v>
      </c>
      <c r="B162" s="2" t="inlineStr">
        <is>
          <t>https://ir.ozone.ru/s3/multimedia-1-m/wc300/10818588982.jpg</t>
        </is>
      </c>
      <c r="C162" s="2" t="n">
        <f>IF(ISERROR(IMAGE("https://ir.ozone.ru/s3/multimedia-1-m/wc300/10818588982.jpg")),"请使用新版Excel2024查看图片",IMAGE("https://ir.ozone.ru/s3/multimedia-1-m/wc300/10818588982.jpg"))</f>
        <v>0.0</v>
      </c>
      <c r="D162" s="2" t="inlineStr">
        <is>
          <t>Велосипед Городской, Шоссейный, mzm-20260526171809771</t>
        </is>
      </c>
      <c r="E162" s="2" t="inlineStr">
        <is>
          <t>https://www.ozon.ru/product/4449498771</t>
        </is>
      </c>
      <c r="F162" s="2" t="n">
        <v>4.449498771E9</v>
      </c>
      <c r="G162" s="2" t="inlineStr">
        <is>
          <t/>
        </is>
      </c>
      <c r="H162" s="3" t="inlineStr">
        <is>
          <t>自行车
Велосипед</t>
        </is>
      </c>
      <c r="I162" s="3" t="inlineStr">
        <is>
          <t>跨境卖家可售</t>
        </is>
      </c>
      <c r="J162" s="2" t="inlineStr">
        <is>
          <t>32316₽</t>
        </is>
      </c>
      <c r="K162" s="2" t="n">
        <v>10.0</v>
      </c>
      <c r="L162" s="2" t="inlineStr">
        <is>
          <t>324460₽</t>
        </is>
      </c>
      <c r="M162" s="2" t="inlineStr">
        <is>
          <t>100%</t>
        </is>
      </c>
      <c r="N162" s="2" t="inlineStr">
        <is>
          <t>100%</t>
        </is>
      </c>
      <c r="O162" s="2" t="inlineStr">
        <is>
          <t/>
        </is>
      </c>
      <c r="P162" s="2" t="n">
        <v>365.0</v>
      </c>
      <c r="Q162" s="2" t="n">
        <v>101.0</v>
      </c>
      <c r="R162" s="2" t="n">
        <v>102.0</v>
      </c>
      <c r="S162" s="2" t="inlineStr">
        <is>
          <t>9.8%</t>
        </is>
      </c>
      <c r="T162" s="2" t="inlineStr">
        <is>
          <t>100.0%</t>
        </is>
      </c>
      <c r="U162" s="2" t="inlineStr">
        <is>
          <t>0.0%</t>
        </is>
      </c>
      <c r="V162" s="2"/>
      <c r="W162" s="2" t="inlineStr">
        <is>
          <t>0₽</t>
        </is>
      </c>
      <c r="X162" s="2" t="n">
        <v>1.0</v>
      </c>
      <c r="Y162" s="2"/>
      <c r="Z162" s="2"/>
      <c r="AA162" s="3" t="inlineStr">
        <is>
          <t>2026-05-26
&lt; 1 个月</t>
        </is>
      </c>
      <c r="AB162" s="2" t="inlineStr">
        <is>
          <t/>
        </is>
      </c>
      <c r="AC162" s="2" t="inlineStr">
        <is>
          <t/>
        </is>
      </c>
      <c r="AD162" s="2" t="inlineStr">
        <is>
          <t>hu bei sheng huang hun lian si shang mao you xian gong si</t>
        </is>
      </c>
      <c r="AE162" s="2" t="inlineStr">
        <is>
          <t>跨境卖家</t>
        </is>
      </c>
      <c r="AF162" s="2" t="inlineStr">
        <is>
          <t>RFBS</t>
        </is>
      </c>
      <c r="AG162" s="2" t="n">
        <v>0.0</v>
      </c>
    </row>
    <row r="163" customHeight="true" ht="64.0">
      <c r="A163" s="2" t="n">
        <v>162.0</v>
      </c>
      <c r="B163" s="2" t="inlineStr">
        <is>
          <t>https://ir.ozone.ru/s3/multimedia-1-j/wc300/10698005431.jpg</t>
        </is>
      </c>
      <c r="C163" s="2" t="n">
        <f>IF(ISERROR(IMAGE("https://ir.ozone.ru/s3/multimedia-1-j/wc300/10698005431.jpg")),"请使用新版Excel2024查看图片",IMAGE("https://ir.ozone.ru/s3/multimedia-1-j/wc300/10698005431.jpg"))</f>
        <v>0.0</v>
      </c>
      <c r="D163" s="2" t="inlineStr">
        <is>
          <t>Гобо-проектор Трехцветный лазерный проектор JMGO N5 Pro Max 4K 3840x2160 Qualas32 с разрешением 4300 люмен, 4+ 128 ГБ, оптическим увеличением 0,88-1,7</t>
        </is>
      </c>
      <c r="E163" s="2" t="inlineStr">
        <is>
          <t>https://www.ozon.ru/product/4403557637</t>
        </is>
      </c>
      <c r="F163" s="2" t="n">
        <v>4.403557637E9</v>
      </c>
      <c r="G163" s="2" t="inlineStr">
        <is>
          <t/>
        </is>
      </c>
      <c r="H163" s="3" t="inlineStr">
        <is>
          <t>图案投影仪
Гобо-проектор</t>
        </is>
      </c>
      <c r="I163" s="3" t="inlineStr">
        <is>
          <t>跨境卖家可售</t>
        </is>
      </c>
      <c r="J163" s="2" t="inlineStr">
        <is>
          <t>81082₽</t>
        </is>
      </c>
      <c r="K163" s="2" t="n">
        <v>4.0</v>
      </c>
      <c r="L163" s="2" t="inlineStr">
        <is>
          <t>324328₽</t>
        </is>
      </c>
      <c r="M163" s="2" t="inlineStr">
        <is>
          <t>100%</t>
        </is>
      </c>
      <c r="N163" s="2" t="inlineStr">
        <is>
          <t>100%</t>
        </is>
      </c>
      <c r="O163" s="2" t="inlineStr">
        <is>
          <t/>
        </is>
      </c>
      <c r="P163" s="2" t="n">
        <v>1566.0</v>
      </c>
      <c r="Q163" s="2" t="n">
        <v>121.0</v>
      </c>
      <c r="R163" s="2" t="n">
        <v>406.0</v>
      </c>
      <c r="S163" s="2" t="inlineStr">
        <is>
          <t>2.21%</t>
        </is>
      </c>
      <c r="T163" s="2" t="inlineStr">
        <is>
          <t>44.4%</t>
        </is>
      </c>
      <c r="U163" s="2" t="inlineStr">
        <is>
          <t>0.0%</t>
        </is>
      </c>
      <c r="V163" s="2"/>
      <c r="W163" s="2" t="inlineStr">
        <is>
          <t>0₽</t>
        </is>
      </c>
      <c r="X163" s="2" t="n">
        <v>1.0</v>
      </c>
      <c r="Y163" s="2"/>
      <c r="Z163" s="2"/>
      <c r="AA163" s="3" t="inlineStr">
        <is>
          <t>2026-05-22
&lt; 1 个月</t>
        </is>
      </c>
      <c r="AB163" s="2" t="inlineStr">
        <is>
          <t/>
        </is>
      </c>
      <c r="AC163" s="2" t="inlineStr">
        <is>
          <t/>
        </is>
      </c>
      <c r="AD163" s="2" t="inlineStr">
        <is>
          <t>VRvr  v</t>
        </is>
      </c>
      <c r="AE163" s="2" t="inlineStr">
        <is>
          <t>跨境卖家</t>
        </is>
      </c>
      <c r="AF163" s="2" t="inlineStr">
        <is>
          <t>RFBS</t>
        </is>
      </c>
      <c r="AG163" s="2" t="n">
        <v>0.0</v>
      </c>
    </row>
    <row r="164" customHeight="true" ht="64.0">
      <c r="A164" s="2" t="n">
        <v>163.0</v>
      </c>
      <c r="B164" s="2" t="inlineStr">
        <is>
          <t>https://ir.ozone.ru/s3/multimedia-1-4/wc300/10922684872.jpg</t>
        </is>
      </c>
      <c r="C164" s="2" t="n">
        <f>IF(ISERROR(IMAGE("https://ir.ozone.ru/s3/multimedia-1-4/wc300/10922684872.jpg")),"请使用新版Excel2024查看图片",IMAGE("https://ir.ozone.ru/s3/multimedia-1-4/wc300/10922684872.jpg"))</f>
        <v>0.0</v>
      </c>
      <c r="D164" s="2" t="inlineStr">
        <is>
          <t>Геймпад беспроводной DualSense для PS5, цвет 007 First Light(ограниченная версия), новый, джойстик для PlayStation 5 и ПК Steam</t>
        </is>
      </c>
      <c r="E164" s="2" t="inlineStr">
        <is>
          <t>https://www.ozon.ru/product/4490719004</t>
        </is>
      </c>
      <c r="F164" s="2" t="n">
        <v>4.490719004E9</v>
      </c>
      <c r="G164" s="2" t="inlineStr">
        <is>
          <t/>
        </is>
      </c>
      <c r="H164" s="3" t="inlineStr">
        <is>
          <t>游戏机配件
Аксессуар для игровой приставки</t>
        </is>
      </c>
      <c r="I164" s="3" t="inlineStr">
        <is>
          <t>跨境卖家可售</t>
        </is>
      </c>
      <c r="J164" s="2" t="inlineStr">
        <is>
          <t>6466₽</t>
        </is>
      </c>
      <c r="K164" s="2" t="n">
        <v>50.0</v>
      </c>
      <c r="L164" s="2" t="inlineStr">
        <is>
          <t>323300₽</t>
        </is>
      </c>
      <c r="M164" s="2" t="inlineStr">
        <is>
          <t>100%</t>
        </is>
      </c>
      <c r="N164" s="2" t="inlineStr">
        <is>
          <t>100%</t>
        </is>
      </c>
      <c r="O164" s="2" t="inlineStr">
        <is>
          <t>47%</t>
        </is>
      </c>
      <c r="P164" s="2" t="n">
        <v>32826.0</v>
      </c>
      <c r="Q164" s="2" t="n">
        <v>8515.0</v>
      </c>
      <c r="R164" s="2" t="n">
        <v>3090.0</v>
      </c>
      <c r="S164" s="2" t="inlineStr">
        <is>
          <t>4.62%</t>
        </is>
      </c>
      <c r="T164" s="2" t="inlineStr">
        <is>
          <t>35.0%</t>
        </is>
      </c>
      <c r="U164" s="2" t="inlineStr">
        <is>
          <t>0.87%</t>
        </is>
      </c>
      <c r="V164" s="2"/>
      <c r="W164" s="2" t="inlineStr">
        <is>
          <t>0₽</t>
        </is>
      </c>
      <c r="X164" s="2" t="n">
        <v>1.0</v>
      </c>
      <c r="Y164" s="2"/>
      <c r="Z164" s="2"/>
      <c r="AA164" s="3" t="inlineStr">
        <is>
          <t>2026-05-29
&lt; 1 个月</t>
        </is>
      </c>
      <c r="AB164" s="2" t="inlineStr">
        <is>
          <t>600 g</t>
        </is>
      </c>
      <c r="AC164" s="2" t="inlineStr">
        <is>
          <t>3 L</t>
        </is>
      </c>
      <c r="AD164" s="2" t="inlineStr">
        <is>
          <t>Игровой Мир</t>
        </is>
      </c>
      <c r="AE164" s="2" t="inlineStr">
        <is>
          <t>跨境卖家</t>
        </is>
      </c>
      <c r="AF164" s="2" t="inlineStr">
        <is>
          <t>RFBS</t>
        </is>
      </c>
      <c r="AG164" s="2" t="n">
        <v>0.0</v>
      </c>
    </row>
    <row r="165" customHeight="true" ht="64.0">
      <c r="A165" s="2" t="n">
        <v>164.0</v>
      </c>
      <c r="B165" s="2" t="inlineStr">
        <is>
          <t>https://ir.ozone.ru/s3/multimedia-1-m/wc300/10512353470.jpg</t>
        </is>
      </c>
      <c r="C165" s="2" t="n">
        <f>IF(ISERROR(IMAGE("https://ir.ozone.ru/s3/multimedia-1-m/wc300/10512353470.jpg")),"请使用新版Excel2024查看图片",IMAGE("https://ir.ozone.ru/s3/multimedia-1-m/wc300/10512353470.jpg"))</f>
        <v>0.0</v>
      </c>
      <c r="D165" s="2" t="inlineStr">
        <is>
          <t>Торцовочная пила с протяжкой Metabo KGS 254 M (613254000) 1800 Вт, 4500 об./мин, d 254 мм.</t>
        </is>
      </c>
      <c r="E165" s="2" t="inlineStr">
        <is>
          <t>https://www.ozon.ru/product/4325336241</t>
        </is>
      </c>
      <c r="F165" s="2" t="n">
        <v>4.325336241E9</v>
      </c>
      <c r="G165" s="2" t="inlineStr">
        <is>
          <t/>
        </is>
      </c>
      <c r="H165" s="3" t="inlineStr">
        <is>
          <t>电锯
Электропила</t>
        </is>
      </c>
      <c r="I165" s="3" t="inlineStr">
        <is>
          <t>跨境卖家可售</t>
        </is>
      </c>
      <c r="J165" s="2" t="inlineStr">
        <is>
          <t>39641₽</t>
        </is>
      </c>
      <c r="K165" s="2" t="n">
        <v>10.0</v>
      </c>
      <c r="L165" s="2" t="inlineStr">
        <is>
          <t>321390₽</t>
        </is>
      </c>
      <c r="M165" s="2" t="inlineStr">
        <is>
          <t>100%</t>
        </is>
      </c>
      <c r="N165" s="2" t="inlineStr">
        <is>
          <t>100%</t>
        </is>
      </c>
      <c r="O165" s="2" t="inlineStr">
        <is>
          <t>52.5%</t>
        </is>
      </c>
      <c r="P165" s="2" t="n">
        <v>3306.0</v>
      </c>
      <c r="Q165" s="2" t="n">
        <v>264.0</v>
      </c>
      <c r="R165" s="2" t="n">
        <v>1090.0</v>
      </c>
      <c r="S165" s="2" t="inlineStr">
        <is>
          <t>4.49%</t>
        </is>
      </c>
      <c r="T165" s="2" t="inlineStr">
        <is>
          <t>20.4%</t>
        </is>
      </c>
      <c r="U165" s="2" t="inlineStr">
        <is>
          <t>0.0%</t>
        </is>
      </c>
      <c r="V165" s="2"/>
      <c r="W165" s="2" t="inlineStr">
        <is>
          <t>0₽</t>
        </is>
      </c>
      <c r="X165" s="2" t="n">
        <v>2.0</v>
      </c>
      <c r="Y165" s="2"/>
      <c r="Z165" s="2"/>
      <c r="AA165" s="3" t="inlineStr">
        <is>
          <t>2026-05-16
&lt; 1 个月</t>
        </is>
      </c>
      <c r="AB165" s="2" t="inlineStr">
        <is>
          <t>21800 g</t>
        </is>
      </c>
      <c r="AC165" s="2" t="inlineStr">
        <is>
          <t>223.69 L</t>
        </is>
      </c>
      <c r="AD165" s="2" t="inlineStr">
        <is>
          <t>hubayi Магазин одежды 5</t>
        </is>
      </c>
      <c r="AE165" s="2" t="inlineStr">
        <is>
          <t>跨境卖家</t>
        </is>
      </c>
      <c r="AF165" s="2" t="inlineStr">
        <is>
          <t>RFBS</t>
        </is>
      </c>
      <c r="AG165" s="2" t="n">
        <v>1.0</v>
      </c>
    </row>
    <row r="166" customHeight="true" ht="64.0">
      <c r="A166" s="2" t="n">
        <v>165.0</v>
      </c>
      <c r="B166" s="2" t="inlineStr">
        <is>
          <t>https://ir.ozone.ru/s3/multimedia-1-r/wc300/10648247643.jpg</t>
        </is>
      </c>
      <c r="C166" s="2" t="n">
        <f>IF(ISERROR(IMAGE("https://ir.ozone.ru/s3/multimedia-1-r/wc300/10648247643.jpg")),"请使用新版Excel2024查看图片",IMAGE("https://ir.ozone.ru/s3/multimedia-1-r/wc300/10648247643.jpg"))</f>
        <v>0.0</v>
      </c>
      <c r="D166" s="2" t="inlineStr">
        <is>
          <t>Гобо-проектор Проектор JMGO N5 Pro 4K 3840x2160 Qualas32, 3100 ISO люмен, 4 + 64 ГБ, проектор для видеоигр с оптическим зумом 0,88-1,7:1 для домашнего</t>
        </is>
      </c>
      <c r="E166" s="2" t="inlineStr">
        <is>
          <t>https://www.ozon.ru/product/4384581602</t>
        </is>
      </c>
      <c r="F166" s="2" t="n">
        <v>4.384581602E9</v>
      </c>
      <c r="G166" s="2" t="inlineStr">
        <is>
          <t/>
        </is>
      </c>
      <c r="H166" s="3" t="inlineStr">
        <is>
          <t>图案投影仪
Гобо-проектор</t>
        </is>
      </c>
      <c r="I166" s="3" t="inlineStr">
        <is>
          <t>跨境卖家可售</t>
        </is>
      </c>
      <c r="J166" s="2" t="inlineStr">
        <is>
          <t>64366₽</t>
        </is>
      </c>
      <c r="K166" s="2" t="n">
        <v>5.0</v>
      </c>
      <c r="L166" s="2" t="inlineStr">
        <is>
          <t>321105₽</t>
        </is>
      </c>
      <c r="M166" s="2" t="inlineStr">
        <is>
          <t>100%</t>
        </is>
      </c>
      <c r="N166" s="2" t="inlineStr">
        <is>
          <t>100%</t>
        </is>
      </c>
      <c r="O166" s="2" t="inlineStr">
        <is>
          <t>52.7%</t>
        </is>
      </c>
      <c r="P166" s="2" t="n">
        <v>1727.0</v>
      </c>
      <c r="Q166" s="2" t="n">
        <v>207.0</v>
      </c>
      <c r="R166" s="2" t="n">
        <v>510.0</v>
      </c>
      <c r="S166" s="2" t="inlineStr">
        <is>
          <t>2.35%</t>
        </is>
      </c>
      <c r="T166" s="2" t="inlineStr">
        <is>
          <t>41.7%</t>
        </is>
      </c>
      <c r="U166" s="2" t="inlineStr">
        <is>
          <t>0.0%</t>
        </is>
      </c>
      <c r="V166" s="2"/>
      <c r="W166" s="2" t="inlineStr">
        <is>
          <t>0₽</t>
        </is>
      </c>
      <c r="X166" s="2" t="n">
        <v>1.0</v>
      </c>
      <c r="Y166" s="2"/>
      <c r="Z166" s="2"/>
      <c r="AA166" s="3" t="inlineStr">
        <is>
          <t>2026-05-21
&lt; 1 个月</t>
        </is>
      </c>
      <c r="AB166" s="2" t="inlineStr">
        <is>
          <t>9354 g</t>
        </is>
      </c>
      <c r="AC166" s="2" t="inlineStr">
        <is>
          <t>3.375 L</t>
        </is>
      </c>
      <c r="AD166" s="2" t="inlineStr">
        <is>
          <t>VRvr  v</t>
        </is>
      </c>
      <c r="AE166" s="2" t="inlineStr">
        <is>
          <t>跨境卖家</t>
        </is>
      </c>
      <c r="AF166" s="2" t="inlineStr">
        <is>
          <t>RFBS</t>
        </is>
      </c>
      <c r="AG166" s="2" t="n">
        <v>0.0</v>
      </c>
    </row>
    <row r="167" customHeight="true" ht="64.0">
      <c r="A167" s="2" t="n">
        <v>166.0</v>
      </c>
      <c r="B167" s="2" t="inlineStr">
        <is>
          <t>https://ir.ozone.ru/s3/multimedia-1-q/wc300/10896380990.jpg</t>
        </is>
      </c>
      <c r="C167" s="2" t="n">
        <f>IF(ISERROR(IMAGE("https://ir.ozone.ru/s3/multimedia-1-q/wc300/10896380990.jpg")),"请使用新版Excel2024查看图片",IMAGE("https://ir.ozone.ru/s3/multimedia-1-q/wc300/10896380990.jpg"))</f>
        <v>0.0</v>
      </c>
      <c r="D167" s="2" t="inlineStr">
        <is>
          <t>Languo Набор ручек, толщина линии: 1 мм, 144 шт.</t>
        </is>
      </c>
      <c r="E167" s="2" t="inlineStr">
        <is>
          <t>https://www.ozon.ru/product/4517385117</t>
        </is>
      </c>
      <c r="F167" s="2" t="n">
        <v>4.517385117E9</v>
      </c>
      <c r="G167" s="2" t="inlineStr">
        <is>
          <t/>
        </is>
      </c>
      <c r="H167" s="3" t="inlineStr">
        <is>
          <t>笔套装
Набор ручек</t>
        </is>
      </c>
      <c r="I167" s="3" t="inlineStr">
        <is>
          <t>跨境卖家可售</t>
        </is>
      </c>
      <c r="J167" s="2" t="inlineStr">
        <is>
          <t>2985₽</t>
        </is>
      </c>
      <c r="K167" s="2" t="n">
        <v>107.0</v>
      </c>
      <c r="L167" s="2" t="inlineStr">
        <is>
          <t>319395₽</t>
        </is>
      </c>
      <c r="M167" s="2" t="inlineStr">
        <is>
          <t>100%</t>
        </is>
      </c>
      <c r="N167" s="2" t="inlineStr">
        <is>
          <t>100%</t>
        </is>
      </c>
      <c r="O167" s="2" t="inlineStr">
        <is>
          <t/>
        </is>
      </c>
      <c r="P167" s="2" t="n">
        <v>6307.0</v>
      </c>
      <c r="Q167" s="2" t="n">
        <v>77.0</v>
      </c>
      <c r="R167" s="2" t="n">
        <v>1722.0</v>
      </c>
      <c r="S167" s="2" t="inlineStr">
        <is>
          <t>24.33%</t>
        </is>
      </c>
      <c r="T167" s="2" t="inlineStr">
        <is>
          <t>25.5%</t>
        </is>
      </c>
      <c r="U167" s="2" t="inlineStr">
        <is>
          <t>0.0%</t>
        </is>
      </c>
      <c r="V167" s="2"/>
      <c r="W167" s="2" t="inlineStr">
        <is>
          <t>0₽</t>
        </is>
      </c>
      <c r="X167" s="2" t="n">
        <v>1.0</v>
      </c>
      <c r="Y167" s="2"/>
      <c r="Z167" s="2"/>
      <c r="AA167" s="3" t="inlineStr">
        <is>
          <t>2026-05-31
&lt; 1 个月</t>
        </is>
      </c>
      <c r="AB167" s="2" t="inlineStr">
        <is>
          <t/>
        </is>
      </c>
      <c r="AC167" s="2" t="inlineStr">
        <is>
          <t/>
        </is>
      </c>
      <c r="AD167" s="2" t="inlineStr">
        <is>
          <t>EN-SHOP</t>
        </is>
      </c>
      <c r="AE167" s="2" t="inlineStr">
        <is>
          <t>跨境卖家</t>
        </is>
      </c>
      <c r="AF167" s="2" t="inlineStr">
        <is>
          <t>RFBS</t>
        </is>
      </c>
      <c r="AG167" s="2" t="n">
        <v>0.0</v>
      </c>
    </row>
    <row r="168" customHeight="true" ht="64.0">
      <c r="A168" s="2" t="n">
        <v>167.0</v>
      </c>
      <c r="B168" s="2" t="inlineStr">
        <is>
          <t>https://ir.ozone.ru/s3/multimedia-1-e/wc300/9849924050.jpg</t>
        </is>
      </c>
      <c r="C168" s="2" t="n">
        <f>IF(ISERROR(IMAGE("https://ir.ozone.ru/s3/multimedia-1-e/wc300/9849924050.jpg")),"请使用新版Excel2024查看图片",IMAGE("https://ir.ozone.ru/s3/multimedia-1-e/wc300/9849924050.jpg"))</f>
        <v>0.0</v>
      </c>
      <c r="D168" s="2" t="inlineStr">
        <is>
          <t>Экшн-камера Osmo Pocket 4 Creator Combo</t>
        </is>
      </c>
      <c r="E168" s="2" t="inlineStr">
        <is>
          <t>https://www.ozon.ru/product/4504859651</t>
        </is>
      </c>
      <c r="F168" s="2" t="n">
        <v>4.504859651E9</v>
      </c>
      <c r="G168" s="2" t="inlineStr">
        <is>
          <t/>
        </is>
      </c>
      <c r="H168" s="3" t="inlineStr">
        <is>
          <t>相机配件
Аксессуар для камеры</t>
        </is>
      </c>
      <c r="I168" s="3" t="inlineStr">
        <is>
          <t>跨境卖家可售</t>
        </is>
      </c>
      <c r="J168" s="2" t="inlineStr">
        <is>
          <t>53052₽</t>
        </is>
      </c>
      <c r="K168" s="2" t="n">
        <v>6.0</v>
      </c>
      <c r="L168" s="2" t="inlineStr">
        <is>
          <t>318312₽</t>
        </is>
      </c>
      <c r="M168" s="2" t="inlineStr">
        <is>
          <t>100%</t>
        </is>
      </c>
      <c r="N168" s="2" t="inlineStr">
        <is>
          <t>100%</t>
        </is>
      </c>
      <c r="O168" s="2" t="inlineStr">
        <is>
          <t>48.6%</t>
        </is>
      </c>
      <c r="P168" s="2" t="n">
        <v>1511.0</v>
      </c>
      <c r="Q168" s="2" t="n">
        <v>453.0</v>
      </c>
      <c r="R168" s="2" t="n">
        <v>390.0</v>
      </c>
      <c r="S168" s="2" t="inlineStr">
        <is>
          <t>1.79%</t>
        </is>
      </c>
      <c r="T168" s="2" t="inlineStr">
        <is>
          <t>85.7%</t>
        </is>
      </c>
      <c r="U168" s="2" t="inlineStr">
        <is>
          <t>0.0%</t>
        </is>
      </c>
      <c r="V168" s="2"/>
      <c r="W168" s="2" t="inlineStr">
        <is>
          <t>0₽</t>
        </is>
      </c>
      <c r="X168" s="2" t="n">
        <v>1.0</v>
      </c>
      <c r="Y168" s="2"/>
      <c r="Z168" s="2"/>
      <c r="AA168" s="3" t="inlineStr">
        <is>
          <t>2026-05-30
&lt; 1 个月</t>
        </is>
      </c>
      <c r="AB168" s="2" t="inlineStr">
        <is>
          <t>750 g</t>
        </is>
      </c>
      <c r="AC168" s="2" t="inlineStr">
        <is>
          <t>1.956 L</t>
        </is>
      </c>
      <c r="AD168" s="2" t="inlineStr">
        <is>
          <t>TechForge Dynamics 3</t>
        </is>
      </c>
      <c r="AE168" s="2" t="inlineStr">
        <is>
          <t>跨境卖家</t>
        </is>
      </c>
      <c r="AF168" s="2" t="inlineStr">
        <is>
          <t>RFBS</t>
        </is>
      </c>
      <c r="AG168" s="2" t="n">
        <v>0.0</v>
      </c>
    </row>
    <row r="169" customHeight="true" ht="64.0">
      <c r="A169" s="2" t="n">
        <v>168.0</v>
      </c>
      <c r="B169" s="2" t="inlineStr">
        <is>
          <t>https://cdn1.ozone.ru/s3/multimedia-1-s/wc300/10534967884.jpg</t>
        </is>
      </c>
      <c r="C169" s="2" t="n">
        <f>IF(ISERROR(IMAGE("https://cdn1.ozone.ru/s3/multimedia-1-s/wc300/10534967884.jpg")),"请使用新版Excel2024查看图片",IMAGE("https://cdn1.ozone.ru/s3/multimedia-1-s/wc300/10534967884.jpg"))</f>
        <v>0.0</v>
      </c>
      <c r="D169" s="2" t="inlineStr">
        <is>
          <t>Dreame Газонокосилка-робот самоходный</t>
        </is>
      </c>
      <c r="E169" s="2" t="inlineStr">
        <is>
          <t>https://www.ozon.ru/product/4591493618</t>
        </is>
      </c>
      <c r="F169" s="2" t="n">
        <v>4.591493618E9</v>
      </c>
      <c r="G169" s="2" t="inlineStr">
        <is>
          <t/>
        </is>
      </c>
      <c r="H169" s="3" t="inlineStr">
        <is>
          <t>垂直割草机
Вертикуттер</t>
        </is>
      </c>
      <c r="I169" s="3" t="inlineStr">
        <is>
          <t>跨境卖家可售</t>
        </is>
      </c>
      <c r="J169" s="2" t="inlineStr">
        <is>
          <t>158446₽</t>
        </is>
      </c>
      <c r="K169" s="2" t="n">
        <v>2.0</v>
      </c>
      <c r="L169" s="2" t="inlineStr">
        <is>
          <t>316892₽</t>
        </is>
      </c>
      <c r="M169" s="2" t="inlineStr">
        <is>
          <t>100%</t>
        </is>
      </c>
      <c r="N169" s="2" t="inlineStr">
        <is>
          <t>100%</t>
        </is>
      </c>
      <c r="O169" s="2" t="inlineStr">
        <is>
          <t>23.3%</t>
        </is>
      </c>
      <c r="P169" s="2" t="n">
        <v>301.0</v>
      </c>
      <c r="Q169" s="2" t="n">
        <v>62.0</v>
      </c>
      <c r="R169" s="2" t="n">
        <v>93.0</v>
      </c>
      <c r="S169" s="2" t="inlineStr">
        <is>
          <t>2.15%</t>
        </is>
      </c>
      <c r="T169" s="2" t="inlineStr">
        <is>
          <t>100.0%</t>
        </is>
      </c>
      <c r="U169" s="2" t="inlineStr">
        <is>
          <t>0.0%</t>
        </is>
      </c>
      <c r="V169" s="2"/>
      <c r="W169" s="2" t="inlineStr">
        <is>
          <t>0₽</t>
        </is>
      </c>
      <c r="X169" s="2" t="n">
        <v>1.0</v>
      </c>
      <c r="Y169" s="2"/>
      <c r="Z169" s="2"/>
      <c r="AA169" s="3" t="inlineStr">
        <is>
          <t>2026-06-05
&lt; 1 个月</t>
        </is>
      </c>
      <c r="AB169" s="2" t="inlineStr">
        <is>
          <t>25000 g</t>
        </is>
      </c>
      <c r="AC169" s="2" t="inlineStr">
        <is>
          <t>214.032 L</t>
        </is>
      </c>
      <c r="AD169" s="2" t="inlineStr">
        <is>
          <t>Lucky Mart RU</t>
        </is>
      </c>
      <c r="AE169" s="2" t="inlineStr">
        <is>
          <t>跨境卖家</t>
        </is>
      </c>
      <c r="AF169" s="2" t="inlineStr">
        <is>
          <t>RFBS</t>
        </is>
      </c>
      <c r="AG169" s="2" t="n">
        <v>0.0</v>
      </c>
    </row>
    <row r="170" customHeight="true" ht="64.0">
      <c r="A170" s="2" t="n">
        <v>169.0</v>
      </c>
      <c r="B170" s="2" t="inlineStr">
        <is>
          <t>https://ir.ozone.ru/s3/multimedia-1-u/wc300/10691215554.jpg</t>
        </is>
      </c>
      <c r="C170" s="2" t="n">
        <f>IF(ISERROR(IMAGE("https://ir.ozone.ru/s3/multimedia-1-u/wc300/10691215554.jpg")),"请使用新版Excel2024查看图片",IMAGE("https://ir.ozone.ru/s3/multimedia-1-u/wc300/10691215554.jpg"))</f>
        <v>0.0</v>
      </c>
      <c r="D170" s="2" t="inlineStr">
        <is>
          <t>Стартовый набор FIFA WORLD CUP 2026/альбом чм 2026 panini</t>
        </is>
      </c>
      <c r="E170" s="2" t="inlineStr">
        <is>
          <t>https://www.ozon.ru/product/4363200660</t>
        </is>
      </c>
      <c r="F170" s="2" t="n">
        <v>4.36320066E9</v>
      </c>
      <c r="G170" s="2" t="inlineStr">
        <is>
          <t>Panini</t>
        </is>
      </c>
      <c r="H170" s="3" t="inlineStr">
        <is>
          <t>收藏贴纸
Наклейка коллекционная</t>
        </is>
      </c>
      <c r="I170" s="3" t="inlineStr">
        <is>
          <t>跨境卖家可售</t>
        </is>
      </c>
      <c r="J170" s="2" t="inlineStr">
        <is>
          <t>1279₽</t>
        </is>
      </c>
      <c r="K170" s="2" t="n">
        <v>238.0</v>
      </c>
      <c r="L170" s="2" t="inlineStr">
        <is>
          <t>316542₽</t>
        </is>
      </c>
      <c r="M170" s="2" t="inlineStr">
        <is>
          <t>100%</t>
        </is>
      </c>
      <c r="N170" s="2" t="inlineStr">
        <is>
          <t>100%</t>
        </is>
      </c>
      <c r="O170" s="2" t="inlineStr">
        <is>
          <t>55%</t>
        </is>
      </c>
      <c r="P170" s="2" t="n">
        <v>83098.0</v>
      </c>
      <c r="Q170" s="2" t="n">
        <v>25646.0</v>
      </c>
      <c r="R170" s="2" t="n">
        <v>15221.0</v>
      </c>
      <c r="S170" s="2" t="inlineStr">
        <is>
          <t>4.14%</t>
        </is>
      </c>
      <c r="T170" s="2" t="inlineStr">
        <is>
          <t>37.8%</t>
        </is>
      </c>
      <c r="U170" s="2" t="inlineStr">
        <is>
          <t>2.92%</t>
        </is>
      </c>
      <c r="V170" s="2"/>
      <c r="W170" s="2" t="inlineStr">
        <is>
          <t>0₽</t>
        </is>
      </c>
      <c r="X170" s="2" t="n">
        <v>7.0</v>
      </c>
      <c r="Y170" s="2" t="n">
        <v>11.0</v>
      </c>
      <c r="Z170" s="2" t="inlineStr">
        <is>
          <t>4.4</t>
        </is>
      </c>
      <c r="AA170" s="3" t="inlineStr">
        <is>
          <t>2026-05-19
&lt; 1 个月</t>
        </is>
      </c>
      <c r="AB170" s="2" t="inlineStr">
        <is>
          <t>300 g</t>
        </is>
      </c>
      <c r="AC170" s="2" t="inlineStr">
        <is>
          <t>2 L</t>
        </is>
      </c>
      <c r="AD170" s="2" t="inlineStr">
        <is>
          <t>Lumira</t>
        </is>
      </c>
      <c r="AE170" s="2" t="inlineStr">
        <is>
          <t>跨境卖家</t>
        </is>
      </c>
      <c r="AF170" s="2" t="inlineStr">
        <is>
          <t>RFBS</t>
        </is>
      </c>
      <c r="AG170" s="2" t="n">
        <v>6.0</v>
      </c>
    </row>
    <row r="171" customHeight="true" ht="64.0">
      <c r="A171" s="2" t="n">
        <v>170.0</v>
      </c>
      <c r="B171" s="2" t="inlineStr">
        <is>
          <t>https://ir.ozone.ru/s3/multimedia-1-l/wc300/10485287229.jpg</t>
        </is>
      </c>
      <c r="C171" s="2" t="n">
        <f>IF(ISERROR(IMAGE("https://ir.ozone.ru/s3/multimedia-1-l/wc300/10485287229.jpg")),"请使用新版Excel2024查看图片",IMAGE("https://ir.ozone.ru/s3/multimedia-1-l/wc300/10485287229.jpg"))</f>
        <v>0.0</v>
      </c>
      <c r="D171" s="2" t="inlineStr">
        <is>
          <t>Гамак-палатка 10-местная</t>
        </is>
      </c>
      <c r="E171" s="2" t="inlineStr">
        <is>
          <t>https://www.ozon.ru/product/4313065866</t>
        </is>
      </c>
      <c r="F171" s="2" t="n">
        <v>4.313065866E9</v>
      </c>
      <c r="G171" s="2" t="inlineStr">
        <is>
          <t/>
        </is>
      </c>
      <c r="H171" s="3" t="inlineStr">
        <is>
          <t>帐篷
Палатка</t>
        </is>
      </c>
      <c r="I171" s="3" t="inlineStr">
        <is>
          <t>跨境卖家可售</t>
        </is>
      </c>
      <c r="J171" s="2" t="inlineStr">
        <is>
          <t>39739₽</t>
        </is>
      </c>
      <c r="K171" s="2" t="n">
        <v>8.0</v>
      </c>
      <c r="L171" s="2" t="inlineStr">
        <is>
          <t>314592₽</t>
        </is>
      </c>
      <c r="M171" s="2" t="inlineStr">
        <is>
          <t>100%</t>
        </is>
      </c>
      <c r="N171" s="2" t="inlineStr">
        <is>
          <t>100%</t>
        </is>
      </c>
      <c r="O171" s="2" t="inlineStr">
        <is>
          <t>49.5%</t>
        </is>
      </c>
      <c r="P171" s="2" t="n">
        <v>1059.0</v>
      </c>
      <c r="Q171" s="2" t="n">
        <v>37.0</v>
      </c>
      <c r="R171" s="2" t="n">
        <v>484.0</v>
      </c>
      <c r="S171" s="2" t="inlineStr">
        <is>
          <t>3.09%</t>
        </is>
      </c>
      <c r="T171" s="2" t="inlineStr">
        <is>
          <t>53.3%</t>
        </is>
      </c>
      <c r="U171" s="2" t="inlineStr">
        <is>
          <t>0.0%</t>
        </is>
      </c>
      <c r="V171" s="2"/>
      <c r="W171" s="2" t="inlineStr">
        <is>
          <t>0₽</t>
        </is>
      </c>
      <c r="X171" s="2" t="n">
        <v>2.0</v>
      </c>
      <c r="Y171" s="2"/>
      <c r="Z171" s="2"/>
      <c r="AA171" s="3" t="inlineStr">
        <is>
          <t>2026-05-15
1 个月</t>
        </is>
      </c>
      <c r="AB171" s="2" t="inlineStr">
        <is>
          <t>24000 g</t>
        </is>
      </c>
      <c r="AC171" s="2" t="inlineStr">
        <is>
          <t>112.821 L</t>
        </is>
      </c>
      <c r="AD171" s="2" t="inlineStr">
        <is>
          <t>Su 2Прекрасная жизнь</t>
        </is>
      </c>
      <c r="AE171" s="2" t="inlineStr">
        <is>
          <t>跨境卖家</t>
        </is>
      </c>
      <c r="AF171" s="2" t="inlineStr">
        <is>
          <t>RFBS</t>
        </is>
      </c>
      <c r="AG171" s="2" t="n">
        <v>0.0</v>
      </c>
    </row>
    <row r="172" customHeight="true" ht="64.0">
      <c r="A172" s="2" t="n">
        <v>171.0</v>
      </c>
      <c r="B172" s="2" t="inlineStr">
        <is>
          <t>https://ir.ozone.ru/s3/multimedia-1-o/wc300/10562476812.jpg</t>
        </is>
      </c>
      <c r="C172" s="2" t="n">
        <f>IF(ISERROR(IMAGE("https://ir.ozone.ru/s3/multimedia-1-o/wc300/10562476812.jpg")),"请使用新版Excel2024查看图片",IMAGE("https://ir.ozone.ru/s3/multimedia-1-o/wc300/10562476812.jpg"))</f>
        <v>0.0</v>
      </c>
      <c r="D172" s="2" t="inlineStr">
        <is>
          <t>MICHELIN PILOT SPORT 5 Шины летние 255/40  R19 100Y</t>
        </is>
      </c>
      <c r="E172" s="2" t="inlineStr">
        <is>
          <t>https://www.ozon.ru/product/4387423874</t>
        </is>
      </c>
      <c r="F172" s="2" t="n">
        <v>4.387423874E9</v>
      </c>
      <c r="G172" s="2" t="inlineStr">
        <is>
          <t>MICHELIN</t>
        </is>
      </c>
      <c r="H172" s="3" t="inlineStr">
        <is>
          <t>乘用车轮胎
Шины для легковых автомобилей</t>
        </is>
      </c>
      <c r="I172" s="3" t="inlineStr">
        <is>
          <t>跨境卖家可售</t>
        </is>
      </c>
      <c r="J172" s="2" t="inlineStr">
        <is>
          <t>62850₽</t>
        </is>
      </c>
      <c r="K172" s="2" t="n">
        <v>5.0</v>
      </c>
      <c r="L172" s="2" t="inlineStr">
        <is>
          <t>314250₽</t>
        </is>
      </c>
      <c r="M172" s="2" t="inlineStr">
        <is>
          <t>100%</t>
        </is>
      </c>
      <c r="N172" s="2" t="inlineStr">
        <is>
          <t>100%</t>
        </is>
      </c>
      <c r="O172" s="2" t="inlineStr">
        <is>
          <t>58.7%</t>
        </is>
      </c>
      <c r="P172" s="2" t="n">
        <v>2138.0</v>
      </c>
      <c r="Q172" s="2" t="n">
        <v>1397.0</v>
      </c>
      <c r="R172" s="2" t="n">
        <v>92.0</v>
      </c>
      <c r="S172" s="2" t="inlineStr">
        <is>
          <t>2.17%</t>
        </is>
      </c>
      <c r="T172" s="2" t="inlineStr">
        <is>
          <t>250.0%</t>
        </is>
      </c>
      <c r="U172" s="2" t="inlineStr">
        <is>
          <t>0.0%</t>
        </is>
      </c>
      <c r="V172" s="2"/>
      <c r="W172" s="2" t="inlineStr">
        <is>
          <t>0₽</t>
        </is>
      </c>
      <c r="X172" s="2" t="n">
        <v>1.0</v>
      </c>
      <c r="Y172" s="2"/>
      <c r="Z172" s="2"/>
      <c r="AA172" s="3" t="inlineStr">
        <is>
          <t>2026-05-21
&lt; 1 个月</t>
        </is>
      </c>
      <c r="AB172" s="2" t="inlineStr">
        <is>
          <t>15000 g</t>
        </is>
      </c>
      <c r="AC172" s="2" t="inlineStr">
        <is>
          <t>192 L</t>
        </is>
      </c>
      <c r="AD172" s="2" t="inlineStr">
        <is>
          <t>Bertha Michael</t>
        </is>
      </c>
      <c r="AE172" s="2" t="inlineStr">
        <is>
          <t>跨境卖家</t>
        </is>
      </c>
      <c r="AF172" s="2" t="inlineStr">
        <is>
          <t>RFBS</t>
        </is>
      </c>
      <c r="AG172" s="2" t="n">
        <v>0.0</v>
      </c>
    </row>
    <row r="173" customHeight="true" ht="64.0">
      <c r="A173" s="2" t="n">
        <v>172.0</v>
      </c>
      <c r="B173" s="2" t="inlineStr">
        <is>
          <t>https://ir.ozone.ru/s3/multimedia-1-z/wc300/10842253487.jpg</t>
        </is>
      </c>
      <c r="C173" s="2" t="n">
        <f>IF(ISERROR(IMAGE("https://ir.ozone.ru/s3/multimedia-1-z/wc300/10842253487.jpg")),"请使用新版Excel2024查看图片",IMAGE("https://ir.ozone.ru/s3/multimedia-1-z/wc300/10842253487.jpg"))</f>
        <v>0.0</v>
      </c>
      <c r="D173" s="2" t="inlineStr">
        <is>
          <t>Смартфон Honor Magic V6  16/</t>
        </is>
      </c>
      <c r="E173" s="2" t="inlineStr">
        <is>
          <t>https://www.ozon.ru/product/4459282113</t>
        </is>
      </c>
      <c r="F173" s="2" t="n">
        <v>4.459282113E9</v>
      </c>
      <c r="G173" s="2" t="inlineStr">
        <is>
          <t/>
        </is>
      </c>
      <c r="H173" s="3" t="inlineStr">
        <is>
          <t>智能手机
Смартфон</t>
        </is>
      </c>
      <c r="I173" s="3" t="inlineStr">
        <is>
          <t>跨境卖家可售</t>
        </is>
      </c>
      <c r="J173" s="2" t="inlineStr">
        <is>
          <t>104722₽</t>
        </is>
      </c>
      <c r="K173" s="2" t="n">
        <v>3.0</v>
      </c>
      <c r="L173" s="2" t="inlineStr">
        <is>
          <t>314166₽</t>
        </is>
      </c>
      <c r="M173" s="2" t="inlineStr">
        <is>
          <t>100%</t>
        </is>
      </c>
      <c r="N173" s="2" t="inlineStr">
        <is>
          <t>100%</t>
        </is>
      </c>
      <c r="O173" s="2" t="inlineStr">
        <is>
          <t/>
        </is>
      </c>
      <c r="P173" s="2" t="n">
        <v>11328.0</v>
      </c>
      <c r="Q173" s="2" t="n">
        <v>3676.0</v>
      </c>
      <c r="R173" s="2" t="n">
        <v>1307.0</v>
      </c>
      <c r="S173" s="2" t="inlineStr">
        <is>
          <t>3.97%</t>
        </is>
      </c>
      <c r="T173" s="2" t="inlineStr">
        <is>
          <t>5.8%</t>
        </is>
      </c>
      <c r="U173" s="2" t="inlineStr">
        <is>
          <t>1.55%</t>
        </is>
      </c>
      <c r="V173" s="2"/>
      <c r="W173" s="2" t="inlineStr">
        <is>
          <t>0₽</t>
        </is>
      </c>
      <c r="X173" s="2" t="n">
        <v>1.0</v>
      </c>
      <c r="Y173" s="2"/>
      <c r="Z173" s="2"/>
      <c r="AA173" s="3" t="inlineStr">
        <is>
          <t>2026-05-27
&lt; 1 个月</t>
        </is>
      </c>
      <c r="AB173" s="2" t="inlineStr">
        <is>
          <t/>
        </is>
      </c>
      <c r="AC173" s="2" t="inlineStr">
        <is>
          <t/>
        </is>
      </c>
      <c r="AD173" s="2" t="inlineStr">
        <is>
          <t>ЦифроГрад</t>
        </is>
      </c>
      <c r="AE173" s="2" t="inlineStr">
        <is>
          <t>跨境卖家</t>
        </is>
      </c>
      <c r="AF173" s="2" t="inlineStr">
        <is>
          <t>RFBS</t>
        </is>
      </c>
      <c r="AG173" s="2" t="n">
        <v>0.0</v>
      </c>
    </row>
    <row r="174" customHeight="true" ht="64.0">
      <c r="A174" s="2" t="n">
        <v>173.0</v>
      </c>
      <c r="B174" s="2" t="inlineStr">
        <is>
          <t>https://ir.ozone.ru/s3/multimedia-1-u/wc300/10557145866.jpg</t>
        </is>
      </c>
      <c r="C174" s="2" t="n">
        <f>IF(ISERROR(IMAGE("https://ir.ozone.ru/s3/multimedia-1-u/wc300/10557145866.jpg")),"请使用新版Excel2024查看图片",IMAGE("https://ir.ozone.ru/s3/multimedia-1-u/wc300/10557145866.jpg"))</f>
        <v>0.0</v>
      </c>
      <c r="D174" s="2" t="inlineStr">
        <is>
          <t>Гобо-проектор EF-50T, коричневый</t>
        </is>
      </c>
      <c r="E174" s="2" t="inlineStr">
        <is>
          <t>https://www.ozon.ru/product/4348699553</t>
        </is>
      </c>
      <c r="F174" s="2" t="n">
        <v>4.348699553E9</v>
      </c>
      <c r="G174" s="2" t="inlineStr">
        <is>
          <t/>
        </is>
      </c>
      <c r="H174" s="3" t="inlineStr">
        <is>
          <t>图案投影仪
Гобо-проектор</t>
        </is>
      </c>
      <c r="I174" s="3" t="inlineStr">
        <is>
          <t>跨境卖家可售</t>
        </is>
      </c>
      <c r="J174" s="2" t="inlineStr">
        <is>
          <t>34782₽</t>
        </is>
      </c>
      <c r="K174" s="2" t="n">
        <v>9.0</v>
      </c>
      <c r="L174" s="2" t="inlineStr">
        <is>
          <t>313038₽</t>
        </is>
      </c>
      <c r="M174" s="2" t="inlineStr">
        <is>
          <t>100%</t>
        </is>
      </c>
      <c r="N174" s="2" t="inlineStr">
        <is>
          <t>100%</t>
        </is>
      </c>
      <c r="O174" s="2" t="inlineStr">
        <is>
          <t>52.4%</t>
        </is>
      </c>
      <c r="P174" s="2" t="n">
        <v>1766.0</v>
      </c>
      <c r="Q174" s="2" t="n">
        <v>328.0</v>
      </c>
      <c r="R174" s="2" t="n">
        <v>512.0</v>
      </c>
      <c r="S174" s="2" t="inlineStr">
        <is>
          <t>3.51%</t>
        </is>
      </c>
      <c r="T174" s="2" t="inlineStr">
        <is>
          <t>50.0%</t>
        </is>
      </c>
      <c r="U174" s="2" t="inlineStr">
        <is>
          <t>0.0%</t>
        </is>
      </c>
      <c r="V174" s="2"/>
      <c r="W174" s="2" t="inlineStr">
        <is>
          <t>0₽</t>
        </is>
      </c>
      <c r="X174" s="2" t="n">
        <v>1.0</v>
      </c>
      <c r="Y174" s="2"/>
      <c r="Z174" s="2"/>
      <c r="AA174" s="3" t="inlineStr">
        <is>
          <t>2026-05-18
&lt; 1 个月</t>
        </is>
      </c>
      <c r="AB174" s="2" t="inlineStr">
        <is>
          <t>3000 g</t>
        </is>
      </c>
      <c r="AC174" s="2" t="inlineStr">
        <is>
          <t>18.9 L</t>
        </is>
      </c>
      <c r="AD174" s="2" t="inlineStr">
        <is>
          <t>lidan</t>
        </is>
      </c>
      <c r="AE174" s="2" t="inlineStr">
        <is>
          <t>跨境卖家</t>
        </is>
      </c>
      <c r="AF174" s="2" t="inlineStr">
        <is>
          <t>RFBS</t>
        </is>
      </c>
      <c r="AG174" s="2" t="n">
        <v>2.0</v>
      </c>
    </row>
    <row r="175" customHeight="true" ht="64.0">
      <c r="A175" s="2" t="n">
        <v>174.0</v>
      </c>
      <c r="B175" s="2" t="inlineStr">
        <is>
          <t>https://ir.ozone.ru/s3/multimedia-1-f/wc300/10943891007.jpg</t>
        </is>
      </c>
      <c r="C175" s="2" t="n">
        <f>IF(ISERROR(IMAGE("https://ir.ozone.ru/s3/multimedia-1-f/wc300/10943891007.jpg")),"请使用新版Excel2024查看图片",IMAGE("https://ir.ozone.ru/s3/multimedia-1-f/wc300/10943891007.jpg"))</f>
        <v>0.0</v>
      </c>
      <c r="D175" s="2" t="inlineStr">
        <is>
          <t>Гобо-проектор -A, голубой</t>
        </is>
      </c>
      <c r="E175" s="2" t="inlineStr">
        <is>
          <t>https://www.ozon.ru/product/4500789629</t>
        </is>
      </c>
      <c r="F175" s="2" t="n">
        <v>4.500789629E9</v>
      </c>
      <c r="G175" s="2" t="inlineStr">
        <is>
          <t/>
        </is>
      </c>
      <c r="H175" s="3" t="inlineStr">
        <is>
          <t>图案投影仪
Гобо-проектор</t>
        </is>
      </c>
      <c r="I175" s="3" t="inlineStr">
        <is>
          <t>跨境卖家可售</t>
        </is>
      </c>
      <c r="J175" s="2" t="inlineStr">
        <is>
          <t>62532₽</t>
        </is>
      </c>
      <c r="K175" s="2" t="n">
        <v>5.0</v>
      </c>
      <c r="L175" s="2" t="inlineStr">
        <is>
          <t>312660₽</t>
        </is>
      </c>
      <c r="M175" s="2" t="inlineStr">
        <is>
          <t>100%</t>
        </is>
      </c>
      <c r="N175" s="2" t="inlineStr">
        <is>
          <t>100%</t>
        </is>
      </c>
      <c r="O175" s="2" t="inlineStr">
        <is>
          <t>52.7%</t>
        </is>
      </c>
      <c r="P175" s="2" t="n">
        <v>1466.0</v>
      </c>
      <c r="Q175" s="2" t="n">
        <v>314.0</v>
      </c>
      <c r="R175" s="2" t="n">
        <v>419.0</v>
      </c>
      <c r="S175" s="2" t="inlineStr">
        <is>
          <t>4.77%</t>
        </is>
      </c>
      <c r="T175" s="2" t="inlineStr">
        <is>
          <t>25.0%</t>
        </is>
      </c>
      <c r="U175" s="2" t="inlineStr">
        <is>
          <t>0.0%</t>
        </is>
      </c>
      <c r="V175" s="2"/>
      <c r="W175" s="2" t="inlineStr">
        <is>
          <t>0₽</t>
        </is>
      </c>
      <c r="X175" s="2" t="n">
        <v>1.0</v>
      </c>
      <c r="Y175" s="2"/>
      <c r="Z175" s="2"/>
      <c r="AA175" s="3" t="inlineStr">
        <is>
          <t>2026-05-30
&lt; 1 个月</t>
        </is>
      </c>
      <c r="AB175" s="2" t="inlineStr">
        <is>
          <t>9000 g</t>
        </is>
      </c>
      <c r="AC175" s="2" t="inlineStr">
        <is>
          <t>3.375 L</t>
        </is>
      </c>
      <c r="AD175" s="2" t="inlineStr">
        <is>
          <t>Техэлектро</t>
        </is>
      </c>
      <c r="AE175" s="2" t="inlineStr">
        <is>
          <t>跨境卖家</t>
        </is>
      </c>
      <c r="AF175" s="2" t="inlineStr">
        <is>
          <t>RFBS</t>
        </is>
      </c>
      <c r="AG175" s="2" t="n">
        <v>0.0</v>
      </c>
    </row>
    <row r="176" customHeight="true" ht="64.0">
      <c r="A176" s="2" t="n">
        <v>175.0</v>
      </c>
      <c r="B176" s="2" t="inlineStr">
        <is>
          <t>https://ir.ozone.ru/s3/multimedia-1-u/wc300/10610676282.jpg</t>
        </is>
      </c>
      <c r="C176" s="2" t="n">
        <f>IF(ISERROR(IMAGE("https://ir.ozone.ru/s3/multimedia-1-u/wc300/10610676282.jpg")),"请使用新版Excel2024查看图片",IMAGE("https://ir.ozone.ru/s3/multimedia-1-u/wc300/10610676282.jpg"))</f>
        <v>0.0</v>
      </c>
      <c r="D176" s="2" t="inlineStr">
        <is>
          <t>Sony Смартфон Xperia 1 VIII XQ-GE74 Mark 8 Глобальная версия Global 12/256 ГБ, Nano-SIM, eSIM, серебристый</t>
        </is>
      </c>
      <c r="E176" s="2" t="inlineStr">
        <is>
          <t>https://www.ozon.ru/product/4322494354</t>
        </is>
      </c>
      <c r="F176" s="2" t="n">
        <v>4.322494354E9</v>
      </c>
      <c r="G176" s="2" t="inlineStr">
        <is>
          <t>Sony</t>
        </is>
      </c>
      <c r="H176" s="3" t="inlineStr">
        <is>
          <t>智能手机
Смартфон</t>
        </is>
      </c>
      <c r="I176" s="3" t="inlineStr">
        <is>
          <t>跨境卖家可售</t>
        </is>
      </c>
      <c r="J176" s="2" t="inlineStr">
        <is>
          <t>104179₽</t>
        </is>
      </c>
      <c r="K176" s="2" t="n">
        <v>3.0</v>
      </c>
      <c r="L176" s="2" t="inlineStr">
        <is>
          <t>312537₽</t>
        </is>
      </c>
      <c r="M176" s="2" t="inlineStr">
        <is>
          <t>100%</t>
        </is>
      </c>
      <c r="N176" s="2" t="inlineStr">
        <is>
          <t>100%</t>
        </is>
      </c>
      <c r="O176" s="2" t="inlineStr">
        <is>
          <t>57.3%</t>
        </is>
      </c>
      <c r="P176" s="2" t="n">
        <v>9163.0</v>
      </c>
      <c r="Q176" s="2" t="n">
        <v>1232.0</v>
      </c>
      <c r="R176" s="2" t="n">
        <v>2382.0</v>
      </c>
      <c r="S176" s="2" t="inlineStr">
        <is>
          <t>1.76%</t>
        </is>
      </c>
      <c r="T176" s="2" t="inlineStr">
        <is>
          <t>7.1%</t>
        </is>
      </c>
      <c r="U176" s="2" t="inlineStr">
        <is>
          <t>0.0%</t>
        </is>
      </c>
      <c r="V176" s="2"/>
      <c r="W176" s="2" t="inlineStr">
        <is>
          <t>0₽</t>
        </is>
      </c>
      <c r="X176" s="2" t="n">
        <v>7.0</v>
      </c>
      <c r="Y176" s="2"/>
      <c r="Z176" s="2"/>
      <c r="AA176" s="3" t="inlineStr">
        <is>
          <t>2026-05-15
1 个月</t>
        </is>
      </c>
      <c r="AB176" s="2" t="inlineStr">
        <is>
          <t>500 g</t>
        </is>
      </c>
      <c r="AC176" s="2" t="inlineStr">
        <is>
          <t>3.234 L</t>
        </is>
      </c>
      <c r="AD176" s="2" t="inlineStr">
        <is>
          <t>Новая береза</t>
        </is>
      </c>
      <c r="AE176" s="2" t="inlineStr">
        <is>
          <t>跨境卖家</t>
        </is>
      </c>
      <c r="AF176" s="2" t="inlineStr">
        <is>
          <t>RFBS</t>
        </is>
      </c>
      <c r="AG176" s="2" t="n">
        <v>22.0</v>
      </c>
    </row>
    <row r="177" customHeight="true" ht="64.0">
      <c r="A177" s="2" t="n">
        <v>176.0</v>
      </c>
      <c r="B177" s="2" t="inlineStr">
        <is>
          <t>https://ir.ozone.ru/s3/multimedia-1-g/wc300/9986225668.jpg</t>
        </is>
      </c>
      <c r="C177" s="2" t="n">
        <f>IF(ISERROR(IMAGE("https://ir.ozone.ru/s3/multimedia-1-g/wc300/9986225668.jpg")),"请使用新版Excel2024查看图片",IMAGE("https://ir.ozone.ru/s3/multimedia-1-g/wc300/9986225668.jpg"))</f>
        <v>0.0</v>
      </c>
      <c r="D177" s="2" t="inlineStr">
        <is>
          <t>Bambu Lab X2D 3D-принтер</t>
        </is>
      </c>
      <c r="E177" s="2" t="inlineStr">
        <is>
          <t>https://www.ozon.ru/product/4354376716</t>
        </is>
      </c>
      <c r="F177" s="2" t="n">
        <v>4.354376716E9</v>
      </c>
      <c r="G177" s="2" t="inlineStr">
        <is>
          <t/>
        </is>
      </c>
      <c r="H177" s="3" t="inlineStr">
        <is>
          <t>复印机
Копировальный аппарат</t>
        </is>
      </c>
      <c r="I177" s="3" t="inlineStr">
        <is>
          <t>跨境卖家可售</t>
        </is>
      </c>
      <c r="J177" s="2" t="inlineStr">
        <is>
          <t>46247₽</t>
        </is>
      </c>
      <c r="K177" s="2" t="n">
        <v>6.0</v>
      </c>
      <c r="L177" s="2" t="inlineStr">
        <is>
          <t>311472₽</t>
        </is>
      </c>
      <c r="M177" s="2" t="inlineStr">
        <is>
          <t>100%</t>
        </is>
      </c>
      <c r="N177" s="2" t="inlineStr">
        <is>
          <t>100%</t>
        </is>
      </c>
      <c r="O177" s="2" t="inlineStr">
        <is>
          <t>52.6%</t>
        </is>
      </c>
      <c r="P177" s="2" t="n">
        <v>3140.0</v>
      </c>
      <c r="Q177" s="2" t="n">
        <v>314.0</v>
      </c>
      <c r="R177" s="2" t="n">
        <v>1009.0</v>
      </c>
      <c r="S177" s="2" t="inlineStr">
        <is>
          <t>3.07%</t>
        </is>
      </c>
      <c r="T177" s="2" t="inlineStr">
        <is>
          <t>19.4%</t>
        </is>
      </c>
      <c r="U177" s="2" t="inlineStr">
        <is>
          <t>0.0%</t>
        </is>
      </c>
      <c r="V177" s="2"/>
      <c r="W177" s="2" t="inlineStr">
        <is>
          <t>0₽</t>
        </is>
      </c>
      <c r="X177" s="2" t="n">
        <v>1.0</v>
      </c>
      <c r="Y177" s="2"/>
      <c r="Z177" s="2"/>
      <c r="AA177" s="3" t="inlineStr">
        <is>
          <t>2026-05-18
&lt; 1 个月</t>
        </is>
      </c>
      <c r="AB177" s="2" t="inlineStr">
        <is>
          <t>20000 g</t>
        </is>
      </c>
      <c r="AC177" s="2" t="inlineStr">
        <is>
          <t>82 L</t>
        </is>
      </c>
      <c r="AD177" s="2" t="inlineStr">
        <is>
          <t>ЦифраПро</t>
        </is>
      </c>
      <c r="AE177" s="2" t="inlineStr">
        <is>
          <t>跨境卖家</t>
        </is>
      </c>
      <c r="AF177" s="2" t="inlineStr">
        <is>
          <t>RFBS</t>
        </is>
      </c>
      <c r="AG177" s="2" t="n">
        <v>6.0</v>
      </c>
    </row>
    <row r="178" customHeight="true" ht="64.0">
      <c r="A178" s="2" t="n">
        <v>177.0</v>
      </c>
      <c r="B178" s="2" t="inlineStr">
        <is>
          <t>https://ir.ozone.ru/s3/multimedia-1-8/wc300/10495631132.jpg</t>
        </is>
      </c>
      <c r="C178" s="2" t="n">
        <f>IF(ISERROR(IMAGE("https://ir.ozone.ru/s3/multimedia-1-8/wc300/10495631132.jpg")),"请使用新版Excel2024查看图片",IMAGE("https://ir.ozone.ru/s3/multimedia-1-8/wc300/10495631132.jpg"))</f>
        <v>0.0</v>
      </c>
      <c r="D178" s="2" t="inlineStr">
        <is>
          <t>Какао-порошок Kurukahveci Mehmet Efendi, 250 г</t>
        </is>
      </c>
      <c r="E178" s="2" t="inlineStr">
        <is>
          <t>https://www.ozon.ru/product/4318159387</t>
        </is>
      </c>
      <c r="F178" s="2" t="n">
        <v>4.318159387E9</v>
      </c>
      <c r="G178" s="2" t="inlineStr">
        <is>
          <t>Kurukahveci Mehmet Efendi</t>
        </is>
      </c>
      <c r="H178" s="3" t="inlineStr">
        <is>
          <t>可可
Какао</t>
        </is>
      </c>
      <c r="I178" s="3" t="inlineStr">
        <is>
          <t>跨境卖家可售</t>
        </is>
      </c>
      <c r="J178" s="2" t="inlineStr">
        <is>
          <t>849₽</t>
        </is>
      </c>
      <c r="K178" s="2" t="n">
        <v>359.0</v>
      </c>
      <c r="L178" s="2" t="inlineStr">
        <is>
          <t>311471₽</t>
        </is>
      </c>
      <c r="M178" s="2" t="inlineStr">
        <is>
          <t>100%</t>
        </is>
      </c>
      <c r="N178" s="2" t="inlineStr">
        <is>
          <t>100%</t>
        </is>
      </c>
      <c r="O178" s="2" t="inlineStr">
        <is>
          <t>56%</t>
        </is>
      </c>
      <c r="P178" s="2" t="n">
        <v>46115.0</v>
      </c>
      <c r="Q178" s="2" t="n">
        <v>8084.0</v>
      </c>
      <c r="R178" s="2" t="n">
        <v>5266.0</v>
      </c>
      <c r="S178" s="2" t="inlineStr">
        <is>
          <t>17.05%</t>
        </is>
      </c>
      <c r="T178" s="2" t="inlineStr">
        <is>
          <t>40.0%</t>
        </is>
      </c>
      <c r="U178" s="2" t="inlineStr">
        <is>
          <t>0.0%</t>
        </is>
      </c>
      <c r="V178" s="2"/>
      <c r="W178" s="2" t="inlineStr">
        <is>
          <t>0₽</t>
        </is>
      </c>
      <c r="X178" s="2" t="n">
        <v>3.0</v>
      </c>
      <c r="Y178" s="2" t="n">
        <v>30.0</v>
      </c>
      <c r="Z178" s="2" t="inlineStr">
        <is>
          <t>4.8</t>
        </is>
      </c>
      <c r="AA178" s="3" t="inlineStr">
        <is>
          <t>2026-05-15
1 个月</t>
        </is>
      </c>
      <c r="AB178" s="2" t="inlineStr">
        <is>
          <t>300 g</t>
        </is>
      </c>
      <c r="AC178" s="2" t="inlineStr">
        <is>
          <t>0.904 L</t>
        </is>
      </c>
      <c r="AD178" s="2" t="inlineStr">
        <is>
          <t>Contact Turkiye</t>
        </is>
      </c>
      <c r="AE178" s="2" t="inlineStr">
        <is>
          <t>跨境卖家</t>
        </is>
      </c>
      <c r="AF178" s="2" t="inlineStr">
        <is>
          <t>RFBS</t>
        </is>
      </c>
      <c r="AG178" s="2" t="n">
        <v>2.0</v>
      </c>
    </row>
    <row r="179" customHeight="true" ht="64.0">
      <c r="A179" s="2" t="n">
        <v>178.0</v>
      </c>
      <c r="B179" s="2" t="inlineStr">
        <is>
          <t>https://ir.ozone.ru/s3/multimedia-1-q/wc300/9978880454.jpg</t>
        </is>
      </c>
      <c r="C179" s="2" t="n">
        <f>IF(ISERROR(IMAGE("https://ir.ozone.ru/s3/multimedia-1-q/wc300/9978880454.jpg")),"请使用新版Excel2024查看图片",IMAGE("https://ir.ozone.ru/s3/multimedia-1-q/wc300/9978880454.jpg"))</f>
        <v>0.0</v>
      </c>
      <c r="D179" s="2" t="inlineStr">
        <is>
          <t>Электровелосипед 2025, 350 Вт</t>
        </is>
      </c>
      <c r="E179" s="2" t="inlineStr">
        <is>
          <t>https://www.ozon.ru/product/4415107133</t>
        </is>
      </c>
      <c r="F179" s="2" t="n">
        <v>4.415107133E9</v>
      </c>
      <c r="G179" s="2" t="inlineStr">
        <is>
          <t/>
        </is>
      </c>
      <c r="H179" s="3" t="inlineStr">
        <is>
          <t>电动自行车
Электровелосипед</t>
        </is>
      </c>
      <c r="I179" s="3" t="inlineStr">
        <is>
          <t>跨境卖家可售</t>
        </is>
      </c>
      <c r="J179" s="2" t="inlineStr">
        <is>
          <t>31122₽</t>
        </is>
      </c>
      <c r="K179" s="2" t="n">
        <v>10.0</v>
      </c>
      <c r="L179" s="2" t="inlineStr">
        <is>
          <t>311220₽</t>
        </is>
      </c>
      <c r="M179" s="2" t="inlineStr">
        <is>
          <t>100%</t>
        </is>
      </c>
      <c r="N179" s="2" t="inlineStr">
        <is>
          <t>100%</t>
        </is>
      </c>
      <c r="O179" s="2" t="inlineStr">
        <is>
          <t/>
        </is>
      </c>
      <c r="P179" s="2" t="n">
        <v>40734.0</v>
      </c>
      <c r="Q179" s="2" t="n">
        <v>8878.0</v>
      </c>
      <c r="R179" s="2" t="n">
        <v>2581.0</v>
      </c>
      <c r="S179" s="2" t="inlineStr">
        <is>
          <t>7.28%</t>
        </is>
      </c>
      <c r="T179" s="2" t="inlineStr">
        <is>
          <t>5.3%</t>
        </is>
      </c>
      <c r="U179" s="2" t="inlineStr">
        <is>
          <t>0.58%</t>
        </is>
      </c>
      <c r="V179" s="2"/>
      <c r="W179" s="2" t="inlineStr">
        <is>
          <t>0₽</t>
        </is>
      </c>
      <c r="X179" s="2" t="n">
        <v>1.0</v>
      </c>
      <c r="Y179" s="2"/>
      <c r="Z179" s="2"/>
      <c r="AA179" s="3" t="inlineStr">
        <is>
          <t>2026-05-23
&lt; 1 个月</t>
        </is>
      </c>
      <c r="AB179" s="2" t="inlineStr">
        <is>
          <t/>
        </is>
      </c>
      <c r="AC179" s="2" t="inlineStr">
        <is>
          <t/>
        </is>
      </c>
      <c r="AD179" s="2" t="inlineStr">
        <is>
          <t>XingChen</t>
        </is>
      </c>
      <c r="AE179" s="2" t="inlineStr">
        <is>
          <t>跨境卖家</t>
        </is>
      </c>
      <c r="AF179" s="2" t="inlineStr">
        <is>
          <t>RFBS</t>
        </is>
      </c>
      <c r="AG179" s="2" t="n">
        <v>0.0</v>
      </c>
    </row>
    <row r="180" customHeight="true" ht="64.0">
      <c r="A180" s="2" t="n">
        <v>179.0</v>
      </c>
      <c r="B180" s="2" t="inlineStr">
        <is>
          <t>https://ir.ozone.ru/s3/multimedia-1-v/wc300/10692119947.jpg</t>
        </is>
      </c>
      <c r="C180" s="2" t="n">
        <f>IF(ISERROR(IMAGE("https://ir.ozone.ru/s3/multimedia-1-v/wc300/10692119947.jpg")),"请使用新版Excel2024查看图片",IMAGE("https://ir.ozone.ru/s3/multimedia-1-v/wc300/10692119947.jpg"))</f>
        <v>0.0</v>
      </c>
      <c r="D180" s="2" t="inlineStr">
        <is>
          <t>Гобо-проектор JMGO N1 Ultra, темно-серый</t>
        </is>
      </c>
      <c r="E180" s="2" t="inlineStr">
        <is>
          <t>https://www.ozon.ru/product/4400768771</t>
        </is>
      </c>
      <c r="F180" s="2" t="n">
        <v>4.400768771E9</v>
      </c>
      <c r="G180" s="2" t="inlineStr">
        <is>
          <t/>
        </is>
      </c>
      <c r="H180" s="3" t="inlineStr">
        <is>
          <t>图案投影仪
Гобо-проектор</t>
        </is>
      </c>
      <c r="I180" s="3" t="inlineStr">
        <is>
          <t>跨境卖家可售</t>
        </is>
      </c>
      <c r="J180" s="2" t="inlineStr">
        <is>
          <t>67360₽</t>
        </is>
      </c>
      <c r="K180" s="2" t="n">
        <v>7.0</v>
      </c>
      <c r="L180" s="2" t="inlineStr">
        <is>
          <t>310373₽</t>
        </is>
      </c>
      <c r="M180" s="2" t="inlineStr">
        <is>
          <t>100%</t>
        </is>
      </c>
      <c r="N180" s="2" t="inlineStr">
        <is>
          <t>100%</t>
        </is>
      </c>
      <c r="O180" s="2" t="inlineStr">
        <is>
          <t>52.7%</t>
        </is>
      </c>
      <c r="P180" s="2" t="n">
        <v>4605.0</v>
      </c>
      <c r="Q180" s="2" t="n">
        <v>1113.0</v>
      </c>
      <c r="R180" s="2" t="n">
        <v>1058.0</v>
      </c>
      <c r="S180" s="2" t="inlineStr">
        <is>
          <t>2.36%</t>
        </is>
      </c>
      <c r="T180" s="2" t="inlineStr">
        <is>
          <t>28.0%</t>
        </is>
      </c>
      <c r="U180" s="2" t="inlineStr">
        <is>
          <t>0.42%</t>
        </is>
      </c>
      <c r="V180" s="2"/>
      <c r="W180" s="2" t="inlineStr">
        <is>
          <t>0₽</t>
        </is>
      </c>
      <c r="X180" s="2" t="n">
        <v>2.0</v>
      </c>
      <c r="Y180" s="2"/>
      <c r="Z180" s="2"/>
      <c r="AA180" s="3" t="inlineStr">
        <is>
          <t>2026-05-22
&lt; 1 个月</t>
        </is>
      </c>
      <c r="AB180" s="2" t="inlineStr">
        <is>
          <t>6000 g</t>
        </is>
      </c>
      <c r="AC180" s="2" t="inlineStr">
        <is>
          <t>8 L</t>
        </is>
      </c>
      <c r="AD180" s="2" t="inlineStr">
        <is>
          <t>zhoujun</t>
        </is>
      </c>
      <c r="AE180" s="2" t="inlineStr">
        <is>
          <t>跨境卖家</t>
        </is>
      </c>
      <c r="AF180" s="2" t="inlineStr">
        <is>
          <t>RFBS</t>
        </is>
      </c>
      <c r="AG180" s="2" t="n">
        <v>2.0</v>
      </c>
    </row>
    <row r="181" customHeight="true" ht="64.0">
      <c r="A181" s="2" t="n">
        <v>180.0</v>
      </c>
      <c r="B181" s="2" t="inlineStr">
        <is>
          <t>https://ir.ozone.ru/s3/multimedia-1-l/wc300/10775276013.jpg</t>
        </is>
      </c>
      <c r="C181" s="2" t="n">
        <f>IF(ISERROR(IMAGE("https://ir.ozone.ru/s3/multimedia-1-l/wc300/10775276013.jpg")),"请使用新版Excel2024查看图片",IMAGE("https://ir.ozone.ru/s3/multimedia-1-l/wc300/10775276013.jpg"))</f>
        <v>0.0</v>
      </c>
      <c r="D181" s="2" t="inlineStr">
        <is>
          <t>Цифровой микшерный пульт WING COMPACT</t>
        </is>
      </c>
      <c r="E181" s="2" t="inlineStr">
        <is>
          <t>https://www.ozon.ru/product/4432383194</t>
        </is>
      </c>
      <c r="F181" s="2" t="n">
        <v>4.432383194E9</v>
      </c>
      <c r="G181" s="2" t="inlineStr">
        <is>
          <t/>
        </is>
      </c>
      <c r="H181" s="3" t="inlineStr">
        <is>
          <t>调音台
Микшер</t>
        </is>
      </c>
      <c r="I181" s="3" t="inlineStr">
        <is>
          <t>跨境卖家可售</t>
        </is>
      </c>
      <c r="J181" s="2" t="inlineStr">
        <is>
          <t>154494₽</t>
        </is>
      </c>
      <c r="K181" s="2" t="n">
        <v>2.0</v>
      </c>
      <c r="L181" s="2" t="inlineStr">
        <is>
          <t>308988₽</t>
        </is>
      </c>
      <c r="M181" s="2" t="inlineStr">
        <is>
          <t>100%</t>
        </is>
      </c>
      <c r="N181" s="2" t="inlineStr">
        <is>
          <t>100%</t>
        </is>
      </c>
      <c r="O181" s="2" t="inlineStr">
        <is>
          <t>54.4%</t>
        </is>
      </c>
      <c r="P181" s="2" t="n">
        <v>1009.0</v>
      </c>
      <c r="Q181" s="2" t="n">
        <v>252.0</v>
      </c>
      <c r="R181" s="2" t="n">
        <v>211.0</v>
      </c>
      <c r="S181" s="2" t="inlineStr">
        <is>
          <t>2.84%</t>
        </is>
      </c>
      <c r="T181" s="2" t="inlineStr">
        <is>
          <t>33.3%</t>
        </is>
      </c>
      <c r="U181" s="2" t="inlineStr">
        <is>
          <t>0.0%</t>
        </is>
      </c>
      <c r="V181" s="2"/>
      <c r="W181" s="2" t="inlineStr">
        <is>
          <t>0₽</t>
        </is>
      </c>
      <c r="X181" s="2" t="n">
        <v>1.0</v>
      </c>
      <c r="Y181" s="2"/>
      <c r="Z181" s="2"/>
      <c r="AA181" s="3" t="inlineStr">
        <is>
          <t>2026-05-25
&lt; 1 个月</t>
        </is>
      </c>
      <c r="AB181" s="2" t="inlineStr">
        <is>
          <t>18000 g</t>
        </is>
      </c>
      <c r="AC181" s="2" t="inlineStr">
        <is>
          <t>40.77 L</t>
        </is>
      </c>
      <c r="AD181" s="2" t="inlineStr">
        <is>
          <t>Город науки и техники</t>
        </is>
      </c>
      <c r="AE181" s="2" t="inlineStr">
        <is>
          <t>跨境卖家</t>
        </is>
      </c>
      <c r="AF181" s="2" t="inlineStr">
        <is>
          <t>RFBS</t>
        </is>
      </c>
      <c r="AG181" s="2" t="n">
        <v>0.0</v>
      </c>
    </row>
    <row r="182" customHeight="true" ht="64.0">
      <c r="A182" s="2" t="n">
        <v>181.0</v>
      </c>
      <c r="B182" s="2" t="inlineStr">
        <is>
          <t>https://ir.ozone.ru/s3/multimedia-1-q/wc300/10560309974.jpg</t>
        </is>
      </c>
      <c r="C182" s="2" t="n">
        <f>IF(ISERROR(IMAGE("https://ir.ozone.ru/s3/multimedia-1-q/wc300/10560309974.jpg")),"请使用新版Excel2024查看图片",IMAGE("https://ir.ozone.ru/s3/multimedia-1-q/wc300/10560309974.jpg"))</f>
        <v>0.0</v>
      </c>
      <c r="D182" s="2" t="inlineStr">
        <is>
          <t xml:space="preserve"> Игровой ноутбук MECHREVO 019e404182f172f0b6a85e960b493c5b, AMD Ryzen 9 8945HX, RAM32 ГБ, SSD 1024 ГБ NVIDIA GeForce RTX, Windows Home, белый</t>
        </is>
      </c>
      <c r="E182" s="2" t="inlineStr">
        <is>
          <t>https://www.ozon.ru/product/4350521724</t>
        </is>
      </c>
      <c r="F182" s="2" t="n">
        <v>4.350521724E9</v>
      </c>
      <c r="G182" s="2" t="inlineStr">
        <is>
          <t/>
        </is>
      </c>
      <c r="H182" s="3" t="inlineStr">
        <is>
          <t>游戏笔记本电脑
Игровой ноутбук</t>
        </is>
      </c>
      <c r="I182" s="3" t="inlineStr">
        <is>
          <t>跨境卖家可售</t>
        </is>
      </c>
      <c r="J182" s="2" t="inlineStr">
        <is>
          <t>102334₽</t>
        </is>
      </c>
      <c r="K182" s="2" t="n">
        <v>3.0</v>
      </c>
      <c r="L182" s="2" t="inlineStr">
        <is>
          <t>307002₽</t>
        </is>
      </c>
      <c r="M182" s="2" t="inlineStr">
        <is>
          <t>100%</t>
        </is>
      </c>
      <c r="N182" s="2" t="inlineStr">
        <is>
          <t>100%</t>
        </is>
      </c>
      <c r="O182" s="2" t="inlineStr">
        <is>
          <t>60.8%</t>
        </is>
      </c>
      <c r="P182" s="2" t="n">
        <v>10976.0</v>
      </c>
      <c r="Q182" s="2" t="n">
        <v>3976.0</v>
      </c>
      <c r="R182" s="2" t="n">
        <v>1239.0</v>
      </c>
      <c r="S182" s="2" t="inlineStr">
        <is>
          <t>3.71%</t>
        </is>
      </c>
      <c r="T182" s="2" t="inlineStr">
        <is>
          <t>6.5%</t>
        </is>
      </c>
      <c r="U182" s="2" t="inlineStr">
        <is>
          <t>0.44%</t>
        </is>
      </c>
      <c r="V182" s="2"/>
      <c r="W182" s="2" t="inlineStr">
        <is>
          <t>0₽</t>
        </is>
      </c>
      <c r="X182" s="2" t="n">
        <v>4.0</v>
      </c>
      <c r="Y182" s="2" t="n">
        <v>13.0</v>
      </c>
      <c r="Z182" s="2"/>
      <c r="AA182" s="3" t="inlineStr">
        <is>
          <t>2026-05-18
&lt; 1 个月</t>
        </is>
      </c>
      <c r="AB182" s="2" t="inlineStr">
        <is>
          <t>5100 g</t>
        </is>
      </c>
      <c r="AC182" s="2" t="inlineStr">
        <is>
          <t>60 L</t>
        </is>
      </c>
      <c r="AD182" s="2" t="inlineStr">
        <is>
          <t>H-B</t>
        </is>
      </c>
      <c r="AE182" s="2" t="inlineStr">
        <is>
          <t>跨境卖家</t>
        </is>
      </c>
      <c r="AF182" s="2" t="inlineStr">
        <is>
          <t>RFBS</t>
        </is>
      </c>
      <c r="AG182" s="2" t="n">
        <v>70.0</v>
      </c>
    </row>
    <row r="183" customHeight="true" ht="64.0">
      <c r="A183" s="2" t="n">
        <v>182.0</v>
      </c>
      <c r="B183" s="2" t="inlineStr">
        <is>
          <t>https://ir.ozone.ru/s3/multimedia-1-v/wc300/10947190783.jpg</t>
        </is>
      </c>
      <c r="C183" s="2" t="n">
        <f>IF(ISERROR(IMAGE("https://ir.ozone.ru/s3/multimedia-1-v/wc300/10947190783.jpg")),"请使用新版Excel2024查看图片",IMAGE("https://ir.ozone.ru/s3/multimedia-1-v/wc300/10947190783.jpg"))</f>
        <v>0.0</v>
      </c>
      <c r="D183" s="2" t="inlineStr">
        <is>
          <t>Прочный стальной кузов для любых грузов</t>
        </is>
      </c>
      <c r="E183" s="2" t="inlineStr">
        <is>
          <t>https://www.ozon.ru/product/4502260274</t>
        </is>
      </c>
      <c r="F183" s="2" t="n">
        <v>4.502260274E9</v>
      </c>
      <c r="G183" s="2" t="inlineStr">
        <is>
          <t/>
        </is>
      </c>
      <c r="H183" s="3" t="inlineStr">
        <is>
          <t>货物手推车
Тележка грузовая</t>
        </is>
      </c>
      <c r="I183" s="3" t="inlineStr">
        <is>
          <t>跨境卖家可售</t>
        </is>
      </c>
      <c r="J183" s="2" t="inlineStr">
        <is>
          <t>152021₽</t>
        </is>
      </c>
      <c r="K183" s="2" t="n">
        <v>2.0</v>
      </c>
      <c r="L183" s="2" t="inlineStr">
        <is>
          <t>304042₽</t>
        </is>
      </c>
      <c r="M183" s="2" t="inlineStr">
        <is>
          <t>100%</t>
        </is>
      </c>
      <c r="N183" s="2" t="inlineStr">
        <is>
          <t>100%</t>
        </is>
      </c>
      <c r="O183" s="2" t="inlineStr">
        <is>
          <t/>
        </is>
      </c>
      <c r="P183" s="2" t="n">
        <v>2016.0</v>
      </c>
      <c r="Q183" s="2" t="n">
        <v>1438.0</v>
      </c>
      <c r="R183" s="2" t="n">
        <v>266.0</v>
      </c>
      <c r="S183" s="2" t="inlineStr">
        <is>
          <t>5.63%</t>
        </is>
      </c>
      <c r="T183" s="2" t="inlineStr">
        <is>
          <t>13.3%</t>
        </is>
      </c>
      <c r="U183" s="2" t="inlineStr">
        <is>
          <t>22.86%</t>
        </is>
      </c>
      <c r="V183" s="2"/>
      <c r="W183" s="2" t="inlineStr">
        <is>
          <t>0₽</t>
        </is>
      </c>
      <c r="X183" s="2" t="n">
        <v>1.0</v>
      </c>
      <c r="Y183" s="2"/>
      <c r="Z183" s="2"/>
      <c r="AA183" s="3" t="inlineStr">
        <is>
          <t>2026-05-30
&lt; 1 个月</t>
        </is>
      </c>
      <c r="AB183" s="2" t="inlineStr">
        <is>
          <t/>
        </is>
      </c>
      <c r="AC183" s="2" t="inlineStr">
        <is>
          <t/>
        </is>
      </c>
      <c r="AD183" s="2" t="inlineStr">
        <is>
          <t>Xuzhou Lanzhou Automotive Service Co., Ltd</t>
        </is>
      </c>
      <c r="AE183" s="2" t="inlineStr">
        <is>
          <t>跨境卖家</t>
        </is>
      </c>
      <c r="AF183" s="2" t="inlineStr">
        <is>
          <t>RFBS</t>
        </is>
      </c>
      <c r="AG183" s="2" t="n">
        <v>0.0</v>
      </c>
    </row>
    <row r="184" customHeight="true" ht="64.0">
      <c r="A184" s="2" t="n">
        <v>183.0</v>
      </c>
      <c r="B184" s="2" t="inlineStr">
        <is>
          <t>https://ir.ozone.ru/s3/multimedia-1-2/wc300/10508661938.jpg</t>
        </is>
      </c>
      <c r="C184" s="2" t="n">
        <f>IF(ISERROR(IMAGE("https://ir.ozone.ru/s3/multimedia-1-2/wc300/10508661938.jpg")),"请使用新版Excel2024查看图片",IMAGE("https://ir.ozone.ru/s3/multimedia-1-2/wc300/10508661938.jpg"))</f>
        <v>0.0</v>
      </c>
      <c r="D184" s="2" t="inlineStr">
        <is>
          <t>Apple Наушники с микрофоном Apple AirPods Max 2, Bluetooth, USB Type-C, черно-серый</t>
        </is>
      </c>
      <c r="E184" s="2" t="inlineStr">
        <is>
          <t>https://www.ozon.ru/product/4323778049</t>
        </is>
      </c>
      <c r="F184" s="2" t="n">
        <v>4.323778049E9</v>
      </c>
      <c r="G184" s="2" t="inlineStr">
        <is>
          <t>Apple</t>
        </is>
      </c>
      <c r="H184" s="3" t="inlineStr">
        <is>
          <t>耳机
Наушники</t>
        </is>
      </c>
      <c r="I184" s="3" t="inlineStr">
        <is>
          <t>跨境卖家可售</t>
        </is>
      </c>
      <c r="J184" s="2" t="inlineStr">
        <is>
          <t>37903₽</t>
        </is>
      </c>
      <c r="K184" s="2" t="n">
        <v>8.0</v>
      </c>
      <c r="L184" s="2" t="inlineStr">
        <is>
          <t>303872₽</t>
        </is>
      </c>
      <c r="M184" s="2" t="inlineStr">
        <is>
          <t>100%</t>
        </is>
      </c>
      <c r="N184" s="2" t="inlineStr">
        <is>
          <t>100%</t>
        </is>
      </c>
      <c r="O184" s="2" t="inlineStr">
        <is>
          <t/>
        </is>
      </c>
      <c r="P184" s="2" t="n">
        <v>1737.0</v>
      </c>
      <c r="Q184" s="2" t="n">
        <v>170.0</v>
      </c>
      <c r="R184" s="2" t="n">
        <v>301.0</v>
      </c>
      <c r="S184" s="2" t="inlineStr">
        <is>
          <t>5.64%</t>
        </is>
      </c>
      <c r="T184" s="2" t="inlineStr">
        <is>
          <t>47.1%</t>
        </is>
      </c>
      <c r="U184" s="2" t="inlineStr">
        <is>
          <t>0.34%</t>
        </is>
      </c>
      <c r="V184" s="2"/>
      <c r="W184" s="2" t="inlineStr">
        <is>
          <t>0₽</t>
        </is>
      </c>
      <c r="X184" s="2" t="n">
        <v>2.0</v>
      </c>
      <c r="Y184" s="2"/>
      <c r="Z184" s="2"/>
      <c r="AA184" s="3" t="inlineStr">
        <is>
          <t>2026-05-15
1 个月</t>
        </is>
      </c>
      <c r="AB184" s="2" t="inlineStr">
        <is>
          <t/>
        </is>
      </c>
      <c r="AC184" s="2" t="inlineStr">
        <is>
          <t/>
        </is>
      </c>
      <c r="AD184" s="2" t="inlineStr">
        <is>
          <t>Prime Electronics</t>
        </is>
      </c>
      <c r="AE184" s="2" t="inlineStr">
        <is>
          <t>跨境卖家</t>
        </is>
      </c>
      <c r="AF184" s="2" t="inlineStr">
        <is>
          <t>RFBS</t>
        </is>
      </c>
      <c r="AG184" s="2" t="n">
        <v>5.0</v>
      </c>
    </row>
    <row r="185" customHeight="true" ht="64.0">
      <c r="A185" s="2" t="n">
        <v>184.0</v>
      </c>
      <c r="B185" s="2" t="inlineStr">
        <is>
          <t>https://ir.ozone.ru/s3/multimedia-1-n/wc300/10784524811.jpg</t>
        </is>
      </c>
      <c r="C185" s="2" t="n">
        <f>IF(ISERROR(IMAGE("https://ir.ozone.ru/s3/multimedia-1-n/wc300/10784524811.jpg")),"请使用新版Excel2024查看图片",IMAGE("https://ir.ozone.ru/s3/multimedia-1-n/wc300/10784524811.jpg"))</f>
        <v>0.0</v>
      </c>
      <c r="D185" s="2" t="inlineStr">
        <is>
          <t>Игра 007 First Light Диск игры PS5 с русскими субтитрами (PlayStation 5, PlayStation 5 Pro, Русские субтитры)</t>
        </is>
      </c>
      <c r="E185" s="2" t="inlineStr">
        <is>
          <t>https://www.ozon.ru/product/4439652005</t>
        </is>
      </c>
      <c r="F185" s="2" t="n">
        <v>4.439652005E9</v>
      </c>
      <c r="G185" s="2" t="inlineStr">
        <is>
          <t/>
        </is>
      </c>
      <c r="H185" s="3" t="inlineStr">
        <is>
          <t>电子游戏
Видеоигра</t>
        </is>
      </c>
      <c r="I185" s="3" t="inlineStr">
        <is>
          <t>跨境卖家可售</t>
        </is>
      </c>
      <c r="J185" s="2" t="inlineStr">
        <is>
          <t>6018₽</t>
        </is>
      </c>
      <c r="K185" s="2" t="n">
        <v>47.0</v>
      </c>
      <c r="L185" s="2" t="inlineStr">
        <is>
          <t>303244₽</t>
        </is>
      </c>
      <c r="M185" s="2" t="inlineStr">
        <is>
          <t>100%</t>
        </is>
      </c>
      <c r="N185" s="2" t="inlineStr">
        <is>
          <t>100%</t>
        </is>
      </c>
      <c r="O185" s="2" t="inlineStr">
        <is>
          <t>52.5%</t>
        </is>
      </c>
      <c r="P185" s="2" t="n">
        <v>13800.0</v>
      </c>
      <c r="Q185" s="2" t="n">
        <v>9163.0</v>
      </c>
      <c r="R185" s="2" t="n">
        <v>1037.0</v>
      </c>
      <c r="S185" s="2" t="inlineStr">
        <is>
          <t>5.97%</t>
        </is>
      </c>
      <c r="T185" s="2" t="inlineStr">
        <is>
          <t>75.8%</t>
        </is>
      </c>
      <c r="U185" s="2" t="inlineStr">
        <is>
          <t>1.09%</t>
        </is>
      </c>
      <c r="V185" s="2"/>
      <c r="W185" s="2" t="inlineStr">
        <is>
          <t>0₽</t>
        </is>
      </c>
      <c r="X185" s="2" t="n">
        <v>1.0</v>
      </c>
      <c r="Y185" s="2"/>
      <c r="Z185" s="2"/>
      <c r="AA185" s="3" t="inlineStr">
        <is>
          <t>2026-05-25
&lt; 1 个月</t>
        </is>
      </c>
      <c r="AB185" s="2" t="inlineStr">
        <is>
          <t>104 g</t>
        </is>
      </c>
      <c r="AC185" s="2" t="inlineStr">
        <is>
          <t>3.6 L</t>
        </is>
      </c>
      <c r="AD185" s="2" t="inlineStr">
        <is>
          <t>Tomorrow Game</t>
        </is>
      </c>
      <c r="AE185" s="2" t="inlineStr">
        <is>
          <t>跨境卖家</t>
        </is>
      </c>
      <c r="AF185" s="2" t="inlineStr">
        <is>
          <t>RFBS</t>
        </is>
      </c>
      <c r="AG185" s="2" t="n">
        <v>1.0</v>
      </c>
    </row>
    <row r="186" customHeight="true" ht="64.0">
      <c r="A186" s="2" t="n">
        <v>185.0</v>
      </c>
      <c r="B186" s="2" t="inlineStr">
        <is>
          <t>https://ir.ozone.ru/s3/multimedia-1-i/wc300/10496661354.jpg</t>
        </is>
      </c>
      <c r="C186" s="2" t="n">
        <f>IF(ISERROR(IMAGE("https://ir.ozone.ru/s3/multimedia-1-i/wc300/10496661354.jpg")),"请使用新版Excel2024查看图片",IMAGE("https://ir.ozone.ru/s3/multimedia-1-i/wc300/10496661354.jpg"))</f>
        <v>0.0</v>
      </c>
      <c r="D186" s="2" t="inlineStr">
        <is>
          <t>Игровая консоль Retroid Pocket 6 RP6 на базе Android, 5,5-дюймовый AMOLED-экран, 12+256 ГБ памяти, разрешение 1080P, частота обновления 120 Гц, датчик Холла, портативная игровая консоль 8GEN2.</t>
        </is>
      </c>
      <c r="E186" s="2" t="inlineStr">
        <is>
          <t>https://www.ozon.ru/product/4318669827</t>
        </is>
      </c>
      <c r="F186" s="2" t="n">
        <v>4.318669827E9</v>
      </c>
      <c r="G186" s="2" t="inlineStr">
        <is>
          <t>Retroid Pocket</t>
        </is>
      </c>
      <c r="H186" s="3" t="inlineStr">
        <is>
          <t>游戏机
Игровая приставка</t>
        </is>
      </c>
      <c r="I186" s="3" t="inlineStr">
        <is>
          <t>跨境卖家可售</t>
        </is>
      </c>
      <c r="J186" s="2" t="inlineStr">
        <is>
          <t>33448₽</t>
        </is>
      </c>
      <c r="K186" s="2" t="n">
        <v>9.0</v>
      </c>
      <c r="L186" s="2" t="inlineStr">
        <is>
          <t>302319₽</t>
        </is>
      </c>
      <c r="M186" s="2" t="inlineStr">
        <is>
          <t>100%</t>
        </is>
      </c>
      <c r="N186" s="2" t="inlineStr">
        <is>
          <t>100%</t>
        </is>
      </c>
      <c r="O186" s="2" t="inlineStr">
        <is>
          <t>48.4%</t>
        </is>
      </c>
      <c r="P186" s="2" t="n">
        <v>4154.0</v>
      </c>
      <c r="Q186" s="2" t="n">
        <v>704.0</v>
      </c>
      <c r="R186" s="2" t="n">
        <v>750.0</v>
      </c>
      <c r="S186" s="2" t="inlineStr">
        <is>
          <t>3.06%</t>
        </is>
      </c>
      <c r="T186" s="2" t="inlineStr">
        <is>
          <t>39.1%</t>
        </is>
      </c>
      <c r="U186" s="2" t="inlineStr">
        <is>
          <t>0.0%</t>
        </is>
      </c>
      <c r="V186" s="2"/>
      <c r="W186" s="2" t="inlineStr">
        <is>
          <t>0₽</t>
        </is>
      </c>
      <c r="X186" s="2" t="n">
        <v>1.0</v>
      </c>
      <c r="Y186" s="2"/>
      <c r="Z186" s="2"/>
      <c r="AA186" s="3" t="inlineStr">
        <is>
          <t>2026-05-15
1 个月</t>
        </is>
      </c>
      <c r="AB186" s="2" t="inlineStr">
        <is>
          <t>500 g</t>
        </is>
      </c>
      <c r="AC186" s="2" t="inlineStr">
        <is>
          <t>0.9 L</t>
        </is>
      </c>
      <c r="AD186" s="2" t="inlineStr">
        <is>
          <t>Shenglai-технология</t>
        </is>
      </c>
      <c r="AE186" s="2" t="inlineStr">
        <is>
          <t>跨境卖家</t>
        </is>
      </c>
      <c r="AF186" s="2" t="inlineStr">
        <is>
          <t>RFBS</t>
        </is>
      </c>
      <c r="AG186" s="2" t="n">
        <v>3.0</v>
      </c>
    </row>
    <row r="187" customHeight="true" ht="64.0">
      <c r="A187" s="2" t="n">
        <v>186.0</v>
      </c>
      <c r="B187" s="2" t="inlineStr">
        <is>
          <t>https://ir.ozone.ru/s3/multimedia-1-g/wc300/10715303248.jpg</t>
        </is>
      </c>
      <c r="C187" s="2" t="n">
        <f>IF(ISERROR(IMAGE("https://ir.ozone.ru/s3/multimedia-1-g/wc300/10715303248.jpg")),"请使用新版Excel2024查看图片",IMAGE("https://ir.ozone.ru/s3/multimedia-1-g/wc300/10715303248.jpg"))</f>
        <v>0.0</v>
      </c>
      <c r="D187" s="2" t="inlineStr">
        <is>
          <t>гонгДиаметр, 100 см</t>
        </is>
      </c>
      <c r="E187" s="2" t="inlineStr">
        <is>
          <t>https://www.ozon.ru/product/4415255299</t>
        </is>
      </c>
      <c r="F187" s="2" t="n">
        <v>4.415255299E9</v>
      </c>
      <c r="G187" s="2" t="inlineStr">
        <is>
          <t/>
        </is>
      </c>
      <c r="H187" s="3" t="inlineStr">
        <is>
          <t>锣
Гонг</t>
        </is>
      </c>
      <c r="I187" s="3" t="inlineStr">
        <is>
          <t>跨境卖家可售</t>
        </is>
      </c>
      <c r="J187" s="2" t="inlineStr">
        <is>
          <t>75264₽</t>
        </is>
      </c>
      <c r="K187" s="2" t="n">
        <v>4.0</v>
      </c>
      <c r="L187" s="2" t="inlineStr">
        <is>
          <t>302272₽</t>
        </is>
      </c>
      <c r="M187" s="2" t="inlineStr">
        <is>
          <t>100%</t>
        </is>
      </c>
      <c r="N187" s="2" t="inlineStr">
        <is>
          <t>100%</t>
        </is>
      </c>
      <c r="O187" s="2" t="inlineStr">
        <is>
          <t>54.2%</t>
        </is>
      </c>
      <c r="P187" s="2" t="n">
        <v>322.0</v>
      </c>
      <c r="Q187" s="2" t="n">
        <v>18.0</v>
      </c>
      <c r="R187" s="2" t="n">
        <v>133.0</v>
      </c>
      <c r="S187" s="2" t="inlineStr">
        <is>
          <t>2.25%</t>
        </is>
      </c>
      <c r="T187" s="2" t="inlineStr">
        <is>
          <t>133.3%</t>
        </is>
      </c>
      <c r="U187" s="2" t="inlineStr">
        <is>
          <t>0.0%</t>
        </is>
      </c>
      <c r="V187" s="2"/>
      <c r="W187" s="2" t="inlineStr">
        <is>
          <t>0₽</t>
        </is>
      </c>
      <c r="X187" s="2" t="n">
        <v>5.0</v>
      </c>
      <c r="Y187" s="2" t="n">
        <v>8.0</v>
      </c>
      <c r="Z187" s="2" t="inlineStr">
        <is>
          <t>5.0</t>
        </is>
      </c>
      <c r="AA187" s="3" t="inlineStr">
        <is>
          <t>2026-05-23
&lt; 1 个月</t>
        </is>
      </c>
      <c r="AB187" s="2" t="inlineStr">
        <is>
          <t>15000 g</t>
        </is>
      </c>
      <c r="AC187" s="2" t="inlineStr">
        <is>
          <t>106.352 L</t>
        </is>
      </c>
      <c r="AD187" s="2" t="inlineStr">
        <is>
          <t>SUPERMARKET</t>
        </is>
      </c>
      <c r="AE187" s="2" t="inlineStr">
        <is>
          <t>跨境卖家</t>
        </is>
      </c>
      <c r="AF187" s="2" t="inlineStr">
        <is>
          <t>RFBS</t>
        </is>
      </c>
      <c r="AG187" s="2" t="n">
        <v>9.0</v>
      </c>
    </row>
    <row r="188" customHeight="true" ht="64.0">
      <c r="A188" s="2" t="n">
        <v>187.0</v>
      </c>
      <c r="B188" s="2" t="inlineStr">
        <is>
          <t>https://ir.ozone.ru/s3/multimedia-1-h/wc300/10652621597.jpg</t>
        </is>
      </c>
      <c r="C188" s="2" t="n">
        <f>IF(ISERROR(IMAGE("https://ir.ozone.ru/s3/multimedia-1-h/wc300/10652621597.jpg")),"请使用新版Excel2024查看图片",IMAGE("https://ir.ozone.ru/s3/multimedia-1-h/wc300/10652621597.jpg"))</f>
        <v>0.0</v>
      </c>
      <c r="D188" s="2" t="inlineStr">
        <is>
          <t>Technic Series lego42206 Ред Булл RB20 Формула-1,18+,1639</t>
        </is>
      </c>
      <c r="E188" s="2" t="inlineStr">
        <is>
          <t>https://www.ozon.ru/product/4386356115</t>
        </is>
      </c>
      <c r="F188" s="2" t="n">
        <v>4.386356115E9</v>
      </c>
      <c r="G188" s="2" t="inlineStr">
        <is>
          <t/>
        </is>
      </c>
      <c r="H188" s="3" t="inlineStr">
        <is>
          <t>积木
Конструктор</t>
        </is>
      </c>
      <c r="I188" s="3" t="inlineStr">
        <is>
          <t>跨境卖家可售</t>
        </is>
      </c>
      <c r="J188" s="2" t="inlineStr">
        <is>
          <t>13252₽</t>
        </is>
      </c>
      <c r="K188" s="2" t="n">
        <v>26.0</v>
      </c>
      <c r="L188" s="2" t="inlineStr">
        <is>
          <t>299512₽</t>
        </is>
      </c>
      <c r="M188" s="2" t="inlineStr">
        <is>
          <t>100%</t>
        </is>
      </c>
      <c r="N188" s="2" t="inlineStr">
        <is>
          <t>100%</t>
        </is>
      </c>
      <c r="O188" s="2" t="inlineStr">
        <is>
          <t/>
        </is>
      </c>
      <c r="P188" s="2" t="n">
        <v>393.0</v>
      </c>
      <c r="Q188" s="2" t="n">
        <v>23.0</v>
      </c>
      <c r="R188" s="2" t="n">
        <v>200.0</v>
      </c>
      <c r="S188" s="2" t="inlineStr">
        <is>
          <t>15.5%</t>
        </is>
      </c>
      <c r="T188" s="2" t="inlineStr">
        <is>
          <t>83.9%</t>
        </is>
      </c>
      <c r="U188" s="2" t="inlineStr">
        <is>
          <t>0.0%</t>
        </is>
      </c>
      <c r="V188" s="2"/>
      <c r="W188" s="2" t="inlineStr">
        <is>
          <t>0₽</t>
        </is>
      </c>
      <c r="X188" s="2" t="n">
        <v>1.0</v>
      </c>
      <c r="Y188" s="2"/>
      <c r="Z188" s="2"/>
      <c r="AA188" s="3" t="inlineStr">
        <is>
          <t>2026-05-21
&lt; 1 个月</t>
        </is>
      </c>
      <c r="AB188" s="2" t="inlineStr">
        <is>
          <t/>
        </is>
      </c>
      <c r="AC188" s="2" t="inlineStr">
        <is>
          <t/>
        </is>
      </c>
      <c r="AD188" s="2" t="inlineStr">
        <is>
          <t>dcacadc</t>
        </is>
      </c>
      <c r="AE188" s="2" t="inlineStr">
        <is>
          <t>跨境卖家</t>
        </is>
      </c>
      <c r="AF188" s="2" t="inlineStr">
        <is>
          <t>RFBS</t>
        </is>
      </c>
      <c r="AG188" s="2" t="n">
        <v>0.0</v>
      </c>
    </row>
    <row r="189" customHeight="true" ht="64.0">
      <c r="A189" s="2" t="n">
        <v>188.0</v>
      </c>
      <c r="B189" s="2" t="inlineStr">
        <is>
          <t>https://ir.ozone.ru/s3/multimedia-1-6/wc300/10501152594.jpg</t>
        </is>
      </c>
      <c r="C189" s="2" t="n">
        <f>IF(ISERROR(IMAGE("https://ir.ozone.ru/s3/multimedia-1-6/wc300/10501152594.jpg")),"请使用新版Excel2024查看图片",IMAGE("https://ir.ozone.ru/s3/multimedia-1-6/wc300/10501152594.jpg"))</f>
        <v>0.0</v>
      </c>
      <c r="D189" s="2" t="inlineStr">
        <is>
          <t xml:space="preserve"> Игровой ноутбук MECHREVO 019e404182f172f0b6a85e960b493c5b, AMD Ryzen 9 7845HX, RAM32 ГБ, SSD 1024 ГБ NVIDIA GeForce RTX, Windows Home, (Русские наклейки +мышь+Коврик для мыши), черно-серый</t>
        </is>
      </c>
      <c r="E189" s="2" t="inlineStr">
        <is>
          <t>https://www.ozon.ru/product/4319815440</t>
        </is>
      </c>
      <c r="F189" s="2" t="n">
        <v>4.31981544E9</v>
      </c>
      <c r="G189" s="2" t="inlineStr">
        <is>
          <t/>
        </is>
      </c>
      <c r="H189" s="3" t="inlineStr">
        <is>
          <t>游戏笔记本电脑
Игровой ноутбук</t>
        </is>
      </c>
      <c r="I189" s="3" t="inlineStr">
        <is>
          <t>跨境卖家可售</t>
        </is>
      </c>
      <c r="J189" s="2" t="inlineStr">
        <is>
          <t>99691₽</t>
        </is>
      </c>
      <c r="K189" s="2" t="n">
        <v>3.0</v>
      </c>
      <c r="L189" s="2" t="inlineStr">
        <is>
          <t>299073₽</t>
        </is>
      </c>
      <c r="M189" s="2" t="inlineStr">
        <is>
          <t>100%</t>
        </is>
      </c>
      <c r="N189" s="2" t="inlineStr">
        <is>
          <t>100%</t>
        </is>
      </c>
      <c r="O189" s="2" t="inlineStr">
        <is>
          <t>60.8%</t>
        </is>
      </c>
      <c r="P189" s="2" t="n">
        <v>12363.0</v>
      </c>
      <c r="Q189" s="2" t="n">
        <v>5736.0</v>
      </c>
      <c r="R189" s="2" t="n">
        <v>950.0</v>
      </c>
      <c r="S189" s="2" t="inlineStr">
        <is>
          <t>6.21%</t>
        </is>
      </c>
      <c r="T189" s="2" t="inlineStr">
        <is>
          <t>5.1%</t>
        </is>
      </c>
      <c r="U189" s="2" t="inlineStr">
        <is>
          <t>0.58%</t>
        </is>
      </c>
      <c r="V189" s="2"/>
      <c r="W189" s="2" t="inlineStr">
        <is>
          <t>0₽</t>
        </is>
      </c>
      <c r="X189" s="2" t="n">
        <v>1.0</v>
      </c>
      <c r="Y189" s="2"/>
      <c r="Z189" s="2"/>
      <c r="AA189" s="3" t="inlineStr">
        <is>
          <t>2026-05-15
1 个月</t>
        </is>
      </c>
      <c r="AB189" s="2" t="inlineStr">
        <is>
          <t>4500 g</t>
        </is>
      </c>
      <c r="AC189" s="2" t="inlineStr">
        <is>
          <t>90 L</t>
        </is>
      </c>
      <c r="AD189" s="2" t="inlineStr">
        <is>
          <t>H-B</t>
        </is>
      </c>
      <c r="AE189" s="2" t="inlineStr">
        <is>
          <t>跨境卖家</t>
        </is>
      </c>
      <c r="AF189" s="2" t="inlineStr">
        <is>
          <t>RFBS</t>
        </is>
      </c>
      <c r="AG189" s="2" t="n">
        <v>0.0</v>
      </c>
    </row>
    <row r="190" customHeight="true" ht="64.0">
      <c r="A190" s="2" t="n">
        <v>189.0</v>
      </c>
      <c r="B190" s="2" t="inlineStr">
        <is>
          <t>https://ir.ozone.ru/s3/multimedia-1-7/wc300/10515748363.jpg</t>
        </is>
      </c>
      <c r="C190" s="2" t="n">
        <f>IF(ISERROR(IMAGE("https://ir.ozone.ru/s3/multimedia-1-7/wc300/10515748363.jpg")),"请使用新版Excel2024查看图片",IMAGE("https://ir.ozone.ru/s3/multimedia-1-7/wc300/10515748363.jpg"))</f>
        <v>0.0</v>
      </c>
      <c r="D190" s="2" t="inlineStr">
        <is>
          <t>Зарядное устройство UltraPower UP9 для аккумуляторных сборок моделей с гарантией</t>
        </is>
      </c>
      <c r="E190" s="2" t="inlineStr">
        <is>
          <t>https://www.ozon.ru/product/4327133432</t>
        </is>
      </c>
      <c r="F190" s="2" t="n">
        <v>4.327133432E9</v>
      </c>
      <c r="G190" s="2" t="inlineStr">
        <is>
          <t/>
        </is>
      </c>
      <c r="H190" s="3" t="inlineStr">
        <is>
          <t>遥控模型零件及配件
Запчасти и аксессуары для р/у моделей</t>
        </is>
      </c>
      <c r="I190" s="3" t="inlineStr">
        <is>
          <t>跨境卖家可售</t>
        </is>
      </c>
      <c r="J190" s="2" t="inlineStr">
        <is>
          <t>11223₽</t>
        </is>
      </c>
      <c r="K190" s="2" t="n">
        <v>28.0</v>
      </c>
      <c r="L190" s="2" t="inlineStr">
        <is>
          <t>299028₽</t>
        </is>
      </c>
      <c r="M190" s="2" t="inlineStr">
        <is>
          <t>100%</t>
        </is>
      </c>
      <c r="N190" s="2" t="inlineStr">
        <is>
          <t>100%</t>
        </is>
      </c>
      <c r="O190" s="2" t="inlineStr">
        <is>
          <t>51.2%</t>
        </is>
      </c>
      <c r="P190" s="2" t="n">
        <v>577.0</v>
      </c>
      <c r="Q190" s="2" t="n">
        <v>41.0</v>
      </c>
      <c r="R190" s="2" t="n">
        <v>188.0</v>
      </c>
      <c r="S190" s="2" t="inlineStr">
        <is>
          <t>1.59%</t>
        </is>
      </c>
      <c r="T190" s="2" t="inlineStr">
        <is>
          <t>933.3%</t>
        </is>
      </c>
      <c r="U190" s="2" t="inlineStr">
        <is>
          <t>0.0%</t>
        </is>
      </c>
      <c r="V190" s="2"/>
      <c r="W190" s="2" t="inlineStr">
        <is>
          <t>0₽</t>
        </is>
      </c>
      <c r="X190" s="2" t="n">
        <v>1.0</v>
      </c>
      <c r="Y190" s="2"/>
      <c r="Z190" s="2"/>
      <c r="AA190" s="3" t="inlineStr">
        <is>
          <t>2026-05-16
&lt; 1 个月</t>
        </is>
      </c>
      <c r="AB190" s="2" t="inlineStr">
        <is>
          <t>300 g</t>
        </is>
      </c>
      <c r="AC190" s="2" t="inlineStr">
        <is>
          <t>4 L</t>
        </is>
      </c>
      <c r="AD190" s="2" t="inlineStr">
        <is>
          <t>Su 4Прекрасная жизнь</t>
        </is>
      </c>
      <c r="AE190" s="2" t="inlineStr">
        <is>
          <t>跨境卖家</t>
        </is>
      </c>
      <c r="AF190" s="2" t="inlineStr">
        <is>
          <t>RFBS</t>
        </is>
      </c>
      <c r="AG190" s="2" t="n">
        <v>0.0</v>
      </c>
    </row>
    <row r="191" customHeight="true" ht="64.0">
      <c r="A191" s="2" t="n">
        <v>190.0</v>
      </c>
      <c r="B191" s="2" t="inlineStr">
        <is>
          <t>https://ir.ozone.ru/s3/multimedia-1-g/wc300/11117896072.jpg</t>
        </is>
      </c>
      <c r="C191" s="2" t="n">
        <f>IF(ISERROR(IMAGE("https://ir.ozone.ru/s3/multimedia-1-g/wc300/11117896072.jpg")),"请使用新版Excel2024查看图片",IMAGE("https://ir.ozone.ru/s3/multimedia-1-g/wc300/11117896072.jpg"))</f>
        <v>0.0</v>
      </c>
      <c r="D191" s="2" t="inlineStr">
        <is>
          <t>3D-принтер Snapmaker U1 для печати и гравировки</t>
        </is>
      </c>
      <c r="E191" s="2" t="inlineStr">
        <is>
          <t>https://www.ozon.ru/product/4577274260</t>
        </is>
      </c>
      <c r="F191" s="2" t="n">
        <v>4.57727426E9</v>
      </c>
      <c r="G191" s="2" t="inlineStr">
        <is>
          <t/>
        </is>
      </c>
      <c r="H191" s="3" t="inlineStr">
        <is>
          <t>复印机
Копировальный аппарат</t>
        </is>
      </c>
      <c r="I191" s="3" t="inlineStr">
        <is>
          <t>跨境卖家可售</t>
        </is>
      </c>
      <c r="J191" s="2" t="inlineStr">
        <is>
          <t>59778₽</t>
        </is>
      </c>
      <c r="K191" s="2" t="n">
        <v>5.0</v>
      </c>
      <c r="L191" s="2" t="inlineStr">
        <is>
          <t>298890₽</t>
        </is>
      </c>
      <c r="M191" s="2" t="inlineStr">
        <is>
          <t>100%</t>
        </is>
      </c>
      <c r="N191" s="2" t="inlineStr">
        <is>
          <t>100%</t>
        </is>
      </c>
      <c r="O191" s="2" t="inlineStr">
        <is>
          <t/>
        </is>
      </c>
      <c r="P191" s="2" t="n">
        <v>1411.0</v>
      </c>
      <c r="Q191" s="2" t="n">
        <v>364.0</v>
      </c>
      <c r="R191" s="2" t="n">
        <v>320.0</v>
      </c>
      <c r="S191" s="2" t="inlineStr">
        <is>
          <t>4.68%</t>
        </is>
      </c>
      <c r="T191" s="2" t="inlineStr">
        <is>
          <t>33.3%</t>
        </is>
      </c>
      <c r="U191" s="2" t="inlineStr">
        <is>
          <t>0.0%</t>
        </is>
      </c>
      <c r="V191" s="2"/>
      <c r="W191" s="2" t="inlineStr">
        <is>
          <t>0₽</t>
        </is>
      </c>
      <c r="X191" s="2" t="n">
        <v>1.0</v>
      </c>
      <c r="Y191" s="2"/>
      <c r="Z191" s="2"/>
      <c r="AA191" s="3" t="inlineStr">
        <is>
          <t>2026-06-04
&lt; 1 个月</t>
        </is>
      </c>
      <c r="AB191" s="2" t="inlineStr">
        <is>
          <t/>
        </is>
      </c>
      <c r="AC191" s="2" t="inlineStr">
        <is>
          <t/>
        </is>
      </c>
      <c r="AD191" s="2" t="inlineStr">
        <is>
          <t>Магазин Павла № 3</t>
        </is>
      </c>
      <c r="AE191" s="2" t="inlineStr">
        <is>
          <t>跨境卖家</t>
        </is>
      </c>
      <c r="AF191" s="2" t="inlineStr">
        <is>
          <t>RFBS</t>
        </is>
      </c>
      <c r="AG191" s="2" t="n">
        <v>0.0</v>
      </c>
    </row>
    <row r="192" customHeight="true" ht="64.0">
      <c r="A192" s="2" t="n">
        <v>191.0</v>
      </c>
      <c r="B192" s="2" t="inlineStr">
        <is>
          <t>https://ir.ozone.ru/s3/multimedia-1-2/wc300/10765139834.jpg</t>
        </is>
      </c>
      <c r="C192" s="2" t="n">
        <f>IF(ISERROR(IMAGE("https://ir.ozone.ru/s3/multimedia-1-2/wc300/10765139834.jpg")),"请使用新版Excel2024查看图片",IMAGE("https://ir.ozone.ru/s3/multimedia-1-2/wc300/10765139834.jpg"))</f>
        <v>0.0</v>
      </c>
      <c r="D192" s="2" t="inlineStr">
        <is>
          <t>Интегральный усилитель Yamaha A-S1200 Black</t>
        </is>
      </c>
      <c r="E192" s="2" t="inlineStr">
        <is>
          <t>https://www.ozon.ru/product/4329839701</t>
        </is>
      </c>
      <c r="F192" s="2" t="n">
        <v>4.329839701E9</v>
      </c>
      <c r="G192" s="2" t="inlineStr">
        <is>
          <t>Yamaha</t>
        </is>
      </c>
      <c r="H192" s="3" t="inlineStr">
        <is>
          <t>卡拉OK系统
Караоке-система</t>
        </is>
      </c>
      <c r="I192" s="3" t="inlineStr">
        <is>
          <t>跨境卖家可售</t>
        </is>
      </c>
      <c r="J192" s="2" t="inlineStr">
        <is>
          <t>149264₽</t>
        </is>
      </c>
      <c r="K192" s="2" t="n">
        <v>2.0</v>
      </c>
      <c r="L192" s="2" t="inlineStr">
        <is>
          <t>298528₽</t>
        </is>
      </c>
      <c r="M192" s="2" t="inlineStr">
        <is>
          <t>100%</t>
        </is>
      </c>
      <c r="N192" s="2" t="inlineStr">
        <is>
          <t>100%</t>
        </is>
      </c>
      <c r="O192" s="2" t="inlineStr">
        <is>
          <t>54.4%</t>
        </is>
      </c>
      <c r="P192" s="2" t="n">
        <v>4116.0</v>
      </c>
      <c r="Q192" s="2" t="n">
        <v>826.0</v>
      </c>
      <c r="R192" s="2" t="n">
        <v>1018.0</v>
      </c>
      <c r="S192" s="2" t="inlineStr">
        <is>
          <t>1.86%</t>
        </is>
      </c>
      <c r="T192" s="2" t="inlineStr">
        <is>
          <t>10.5%</t>
        </is>
      </c>
      <c r="U192" s="2" t="inlineStr">
        <is>
          <t>0.0%</t>
        </is>
      </c>
      <c r="V192" s="2"/>
      <c r="W192" s="2" t="inlineStr">
        <is>
          <t>0₽</t>
        </is>
      </c>
      <c r="X192" s="2" t="n">
        <v>5.0</v>
      </c>
      <c r="Y192" s="2" t="n">
        <v>31.0</v>
      </c>
      <c r="Z192" s="2" t="inlineStr">
        <is>
          <t>5.0</t>
        </is>
      </c>
      <c r="AA192" s="3" t="inlineStr">
        <is>
          <t>2026-05-16
&lt; 1 个月</t>
        </is>
      </c>
      <c r="AB192" s="2" t="inlineStr">
        <is>
          <t>20000 g</t>
        </is>
      </c>
      <c r="AC192" s="2" t="inlineStr">
        <is>
          <t>9.315 L</t>
        </is>
      </c>
      <c r="AD192" s="2" t="inlineStr">
        <is>
          <t>RoonMusic</t>
        </is>
      </c>
      <c r="AE192" s="2" t="inlineStr">
        <is>
          <t>跨境卖家</t>
        </is>
      </c>
      <c r="AF192" s="2" t="inlineStr">
        <is>
          <t>RFBS</t>
        </is>
      </c>
      <c r="AG192" s="2" t="n">
        <v>79.0</v>
      </c>
    </row>
    <row r="193" customHeight="true" ht="64.0">
      <c r="A193" s="2" t="n">
        <v>192.0</v>
      </c>
      <c r="B193" s="2" t="inlineStr">
        <is>
          <t>https://ir.ozone.ru/s3/multimedia-1-e/wc300/10955733422.jpg</t>
        </is>
      </c>
      <c r="C193" s="2" t="n">
        <f>IF(ISERROR(IMAGE("https://ir.ozone.ru/s3/multimedia-1-e/wc300/10955733422.jpg")),"请使用新版Excel2024查看图片",IMAGE("https://ir.ozone.ru/s3/multimedia-1-e/wc300/10955733422.jpg"))</f>
        <v>0.0</v>
      </c>
      <c r="D193" s="2" t="inlineStr">
        <is>
          <t>DS-S1600 Портативная электростанция 1600Вт LiFePO4 солнечной панелью, выходами AC/DC/USB/PD для кемпинга и ЧС</t>
        </is>
      </c>
      <c r="E193" s="2" t="inlineStr">
        <is>
          <t>https://www.ozon.ru/product/4506292424</t>
        </is>
      </c>
      <c r="F193" s="2" t="n">
        <v>4.506292424E9</v>
      </c>
      <c r="G193" s="2" t="inlineStr">
        <is>
          <t/>
        </is>
      </c>
      <c r="H193" s="3" t="inlineStr">
        <is>
          <t>电源连接套件
Комплект для подключения к электроснабжению</t>
        </is>
      </c>
      <c r="I193" s="3" t="inlineStr">
        <is>
          <t>跨境卖家可售</t>
        </is>
      </c>
      <c r="J193" s="2" t="inlineStr">
        <is>
          <t>49842₽</t>
        </is>
      </c>
      <c r="K193" s="2" t="n">
        <v>6.0</v>
      </c>
      <c r="L193" s="2" t="inlineStr">
        <is>
          <t>298398₽</t>
        </is>
      </c>
      <c r="M193" s="2" t="inlineStr">
        <is>
          <t>100%</t>
        </is>
      </c>
      <c r="N193" s="2" t="inlineStr">
        <is>
          <t>100%</t>
        </is>
      </c>
      <c r="O193" s="2" t="inlineStr">
        <is>
          <t>50.6%</t>
        </is>
      </c>
      <c r="P193" s="2" t="n">
        <v>110.0</v>
      </c>
      <c r="Q193" s="2" t="n">
        <v>46.0</v>
      </c>
      <c r="R193" s="2" t="n">
        <v>19.0</v>
      </c>
      <c r="S193" s="2" t="inlineStr">
        <is>
          <t>5.26%</t>
        </is>
      </c>
      <c r="T193" s="2" t="inlineStr">
        <is>
          <t>600.0%</t>
        </is>
      </c>
      <c r="U193" s="2" t="inlineStr">
        <is>
          <t>0.0%</t>
        </is>
      </c>
      <c r="V193" s="2"/>
      <c r="W193" s="2" t="inlineStr">
        <is>
          <t>0₽</t>
        </is>
      </c>
      <c r="X193" s="2" t="n">
        <v>1.0</v>
      </c>
      <c r="Y193" s="2"/>
      <c r="Z193" s="2"/>
      <c r="AA193" s="3" t="inlineStr">
        <is>
          <t>2026-05-30
&lt; 1 个月</t>
        </is>
      </c>
      <c r="AB193" s="2" t="inlineStr">
        <is>
          <t>15200 g</t>
        </is>
      </c>
      <c r="AC193" s="2" t="inlineStr">
        <is>
          <t>25.2 L</t>
        </is>
      </c>
      <c r="AD193" s="2" t="inlineStr">
        <is>
          <t>JW GERMAN STORE</t>
        </is>
      </c>
      <c r="AE193" s="2" t="inlineStr">
        <is>
          <t>跨境卖家</t>
        </is>
      </c>
      <c r="AF193" s="2" t="inlineStr">
        <is>
          <t>RFBS</t>
        </is>
      </c>
      <c r="AG193" s="2" t="n">
        <v>0.0</v>
      </c>
    </row>
    <row r="194" customHeight="true" ht="64.0">
      <c r="A194" s="2" t="n">
        <v>193.0</v>
      </c>
      <c r="B194" s="2" t="inlineStr">
        <is>
          <t>https://ir.ozone.ru/s3/multimedia-1-r/wc300/10567757223.jpg</t>
        </is>
      </c>
      <c r="C194" s="2" t="n">
        <f>IF(ISERROR(IMAGE("https://ir.ozone.ru/s3/multimedia-1-r/wc300/10567757223.jpg")),"请使用新版Excel2024查看图片",IMAGE("https://ir.ozone.ru/s3/multimedia-1-r/wc300/10567757223.jpg"))</f>
        <v>0.0</v>
      </c>
      <c r="D194" s="2" t="inlineStr">
        <is>
          <t>Сотовое светодиодное освещение 14-отверстное светодиодное освещение с изменением цвета для открытых пространств 636 Вт Светильник 2815x4740 мм</t>
        </is>
      </c>
      <c r="E194" s="2" t="inlineStr">
        <is>
          <t>https://www.ozon.ru/product/4354319900</t>
        </is>
      </c>
      <c r="F194" s="2" t="n">
        <v>4.3543199E9</v>
      </c>
      <c r="G194" s="2" t="inlineStr">
        <is>
          <t/>
        </is>
      </c>
      <c r="H194" s="3" t="inlineStr">
        <is>
          <t>技术照明
Техническое освещение</t>
        </is>
      </c>
      <c r="I194" s="3" t="inlineStr">
        <is>
          <t>跨境卖家可售</t>
        </is>
      </c>
      <c r="J194" s="2" t="inlineStr">
        <is>
          <t>5591₽</t>
        </is>
      </c>
      <c r="K194" s="2" t="n">
        <v>60.0</v>
      </c>
      <c r="L194" s="2" t="inlineStr">
        <is>
          <t>298360₽</t>
        </is>
      </c>
      <c r="M194" s="2" t="inlineStr">
        <is>
          <t>100%</t>
        </is>
      </c>
      <c r="N194" s="2" t="inlineStr">
        <is>
          <t>100%</t>
        </is>
      </c>
      <c r="O194" s="2" t="inlineStr">
        <is>
          <t>48%</t>
        </is>
      </c>
      <c r="P194" s="2" t="n">
        <v>15985.0</v>
      </c>
      <c r="Q194" s="2" t="n">
        <v>4929.0</v>
      </c>
      <c r="R194" s="2" t="n">
        <v>1832.0</v>
      </c>
      <c r="S194" s="2" t="inlineStr">
        <is>
          <t>9.27%</t>
        </is>
      </c>
      <c r="T194" s="2" t="inlineStr">
        <is>
          <t>35.3%</t>
        </is>
      </c>
      <c r="U194" s="2" t="inlineStr">
        <is>
          <t>9.7%</t>
        </is>
      </c>
      <c r="V194" s="2"/>
      <c r="W194" s="2" t="inlineStr">
        <is>
          <t>0₽</t>
        </is>
      </c>
      <c r="X194" s="2" t="n">
        <v>1.0</v>
      </c>
      <c r="Y194" s="2"/>
      <c r="Z194" s="2"/>
      <c r="AA194" s="3" t="inlineStr">
        <is>
          <t>2026-05-18
&lt; 1 个月</t>
        </is>
      </c>
      <c r="AB194" s="2" t="inlineStr">
        <is>
          <t>9865 g</t>
        </is>
      </c>
      <c r="AC194" s="2" t="inlineStr">
        <is>
          <t>56.326 L</t>
        </is>
      </c>
      <c r="AD194" s="2" t="inlineStr">
        <is>
          <t>PERFECT Lighting</t>
        </is>
      </c>
      <c r="AE194" s="2" t="inlineStr">
        <is>
          <t>跨境卖家</t>
        </is>
      </c>
      <c r="AF194" s="2" t="inlineStr">
        <is>
          <t>RFBS</t>
        </is>
      </c>
      <c r="AG194" s="2" t="n">
        <v>1.0</v>
      </c>
    </row>
    <row r="195" customHeight="true" ht="64.0">
      <c r="A195" s="2" t="n">
        <v>194.0</v>
      </c>
      <c r="B195" s="2" t="inlineStr">
        <is>
          <t>https://ir.ozone.ru/s3/multimedia-1-s/wc300/10542206368.jpg</t>
        </is>
      </c>
      <c r="C195" s="2" t="n">
        <f>IF(ISERROR(IMAGE("https://ir.ozone.ru/s3/multimedia-1-s/wc300/10542206368.jpg")),"请使用新版Excel2024查看图片",IMAGE("https://ir.ozone.ru/s3/multimedia-1-s/wc300/10542206368.jpg"))</f>
        <v>0.0</v>
      </c>
      <c r="D195" s="2" t="inlineStr">
        <is>
          <t>Домашний кинотеатр QUAD Artera Pre Black</t>
        </is>
      </c>
      <c r="E195" s="2" t="inlineStr">
        <is>
          <t>https://www.ozon.ru/product/4341025295</t>
        </is>
      </c>
      <c r="F195" s="2" t="n">
        <v>4.341025295E9</v>
      </c>
      <c r="G195" s="2" t="inlineStr">
        <is>
          <t/>
        </is>
      </c>
      <c r="H195" s="3" t="inlineStr">
        <is>
          <t>家庭影院
Домашний кинотеатр</t>
        </is>
      </c>
      <c r="I195" s="3" t="inlineStr">
        <is>
          <t>跨境卖家可售</t>
        </is>
      </c>
      <c r="J195" s="2" t="inlineStr">
        <is>
          <t>59498₽</t>
        </is>
      </c>
      <c r="K195" s="2" t="n">
        <v>5.0</v>
      </c>
      <c r="L195" s="2" t="inlineStr">
        <is>
          <t>297490₽</t>
        </is>
      </c>
      <c r="M195" s="2" t="inlineStr">
        <is>
          <t>100%</t>
        </is>
      </c>
      <c r="N195" s="2" t="inlineStr">
        <is>
          <t>100%</t>
        </is>
      </c>
      <c r="O195" s="2" t="inlineStr">
        <is>
          <t>54.2%</t>
        </is>
      </c>
      <c r="P195" s="2" t="n">
        <v>1451.0</v>
      </c>
      <c r="Q195" s="2" t="n">
        <v>409.0</v>
      </c>
      <c r="R195" s="2" t="n">
        <v>410.0</v>
      </c>
      <c r="S195" s="2" t="inlineStr">
        <is>
          <t>2.43%</t>
        </is>
      </c>
      <c r="T195" s="2" t="inlineStr">
        <is>
          <t>50.0%</t>
        </is>
      </c>
      <c r="U195" s="2" t="inlineStr">
        <is>
          <t>0.02%</t>
        </is>
      </c>
      <c r="V195" s="2"/>
      <c r="W195" s="2" t="inlineStr">
        <is>
          <t>0₽</t>
        </is>
      </c>
      <c r="X195" s="2" t="n">
        <v>1.0</v>
      </c>
      <c r="Y195" s="2"/>
      <c r="Z195" s="2"/>
      <c r="AA195" s="3" t="inlineStr">
        <is>
          <t>2026-05-17
&lt; 1 个月</t>
        </is>
      </c>
      <c r="AB195" s="2" t="inlineStr">
        <is>
          <t>18500 g</t>
        </is>
      </c>
      <c r="AC195" s="2" t="inlineStr">
        <is>
          <t>40.5 L</t>
        </is>
      </c>
      <c r="AD195" s="2" t="inlineStr">
        <is>
          <t>ЦифраПро</t>
        </is>
      </c>
      <c r="AE195" s="2" t="inlineStr">
        <is>
          <t>跨境卖家</t>
        </is>
      </c>
      <c r="AF195" s="2" t="inlineStr">
        <is>
          <t>RFBS</t>
        </is>
      </c>
      <c r="AG195" s="2" t="n">
        <v>0.0</v>
      </c>
    </row>
    <row r="196" customHeight="true" ht="64.0">
      <c r="A196" s="2" t="n">
        <v>195.0</v>
      </c>
      <c r="B196" s="2" t="inlineStr">
        <is>
          <t>https://ir.ozone.ru/s3/multimedia-1-y/wc300/10698240022.jpg</t>
        </is>
      </c>
      <c r="C196" s="2" t="n">
        <f>IF(ISERROR(IMAGE("https://ir.ozone.ru/s3/multimedia-1-y/wc300/10698240022.jpg")),"请使用新版Excel2024查看图片",IMAGE("https://ir.ozone.ru/s3/multimedia-1-y/wc300/10698240022.jpg"))</f>
        <v>0.0</v>
      </c>
      <c r="D196" s="2" t="inlineStr">
        <is>
          <t>Гобо-проектор Трехцветный лазерный проектор JMGO N5 Ultra Max 4K 3840x2160 Qualas32 с разрешением ISO 6000 люмен, 8+ 128 ГБ, оптическим увеличением 0,</t>
        </is>
      </c>
      <c r="E196" s="2" t="inlineStr">
        <is>
          <t>https://www.ozon.ru/product/4403759532</t>
        </is>
      </c>
      <c r="F196" s="2" t="n">
        <v>4.403759532E9</v>
      </c>
      <c r="G196" s="2" t="inlineStr">
        <is>
          <t/>
        </is>
      </c>
      <c r="H196" s="3" t="inlineStr">
        <is>
          <t>图案投影仪
Гобо-проектор</t>
        </is>
      </c>
      <c r="I196" s="3" t="inlineStr">
        <is>
          <t>跨境卖家可售</t>
        </is>
      </c>
      <c r="J196" s="2" t="inlineStr">
        <is>
          <t>98458₽</t>
        </is>
      </c>
      <c r="K196" s="2" t="n">
        <v>3.0</v>
      </c>
      <c r="L196" s="2" t="inlineStr">
        <is>
          <t>295374₽</t>
        </is>
      </c>
      <c r="M196" s="2" t="inlineStr">
        <is>
          <t>100%</t>
        </is>
      </c>
      <c r="N196" s="2" t="inlineStr">
        <is>
          <t>100%</t>
        </is>
      </c>
      <c r="O196" s="2" t="inlineStr">
        <is>
          <t/>
        </is>
      </c>
      <c r="P196" s="2" t="n">
        <v>1186.0</v>
      </c>
      <c r="Q196" s="2" t="n">
        <v>101.0</v>
      </c>
      <c r="R196" s="2" t="n">
        <v>368.0</v>
      </c>
      <c r="S196" s="2" t="inlineStr">
        <is>
          <t>2.71%</t>
        </is>
      </c>
      <c r="T196" s="2" t="inlineStr">
        <is>
          <t>30.0%</t>
        </is>
      </c>
      <c r="U196" s="2" t="inlineStr">
        <is>
          <t>0.0%</t>
        </is>
      </c>
      <c r="V196" s="2"/>
      <c r="W196" s="2" t="inlineStr">
        <is>
          <t>0₽</t>
        </is>
      </c>
      <c r="X196" s="2" t="n">
        <v>1.0</v>
      </c>
      <c r="Y196" s="2"/>
      <c r="Z196" s="2"/>
      <c r="AA196" s="3" t="inlineStr">
        <is>
          <t>2026-05-22
&lt; 1 个月</t>
        </is>
      </c>
      <c r="AB196" s="2" t="inlineStr">
        <is>
          <t/>
        </is>
      </c>
      <c r="AC196" s="2" t="inlineStr">
        <is>
          <t/>
        </is>
      </c>
      <c r="AD196" s="2" t="inlineStr">
        <is>
          <t>VRvr  v</t>
        </is>
      </c>
      <c r="AE196" s="2" t="inlineStr">
        <is>
          <t>跨境卖家</t>
        </is>
      </c>
      <c r="AF196" s="2" t="inlineStr">
        <is>
          <t>RFBS</t>
        </is>
      </c>
      <c r="AG196" s="2" t="n">
        <v>0.0</v>
      </c>
    </row>
    <row r="197" customHeight="true" ht="64.0">
      <c r="A197" s="2" t="n">
        <v>196.0</v>
      </c>
      <c r="B197" s="2" t="inlineStr">
        <is>
          <t>https://ir.ozone.ru/s3/multimedia-1-m/wc300/11113279042.jpg</t>
        </is>
      </c>
      <c r="C197" s="2" t="n">
        <f>IF(ISERROR(IMAGE("https://ir.ozone.ru/s3/multimedia-1-m/wc300/11113279042.jpg")),"请使用新版Excel2024查看图片",IMAGE("https://ir.ozone.ru/s3/multimedia-1-m/wc300/11113279042.jpg"))</f>
        <v>0.0</v>
      </c>
      <c r="D197" s="2" t="inlineStr">
        <is>
          <t>Смартфон Xiaomi 17T_Pro  12/, Violet</t>
        </is>
      </c>
      <c r="E197" s="2" t="inlineStr">
        <is>
          <t>https://www.ozon.ru/product/4532965971</t>
        </is>
      </c>
      <c r="F197" s="2" t="n">
        <v>4.532965971E9</v>
      </c>
      <c r="G197" s="2" t="inlineStr">
        <is>
          <t/>
        </is>
      </c>
      <c r="H197" s="3" t="inlineStr">
        <is>
          <t>智能手机
Смартфон</t>
        </is>
      </c>
      <c r="I197" s="3" t="inlineStr">
        <is>
          <t>跨境卖家可售</t>
        </is>
      </c>
      <c r="J197" s="2" t="inlineStr">
        <is>
          <t>41898₽</t>
        </is>
      </c>
      <c r="K197" s="2" t="n">
        <v>7.0</v>
      </c>
      <c r="L197" s="2" t="inlineStr">
        <is>
          <t>293286₽</t>
        </is>
      </c>
      <c r="M197" s="2" t="inlineStr">
        <is>
          <t>100%</t>
        </is>
      </c>
      <c r="N197" s="2" t="inlineStr">
        <is>
          <t>100%</t>
        </is>
      </c>
      <c r="O197" s="2" t="inlineStr">
        <is>
          <t/>
        </is>
      </c>
      <c r="P197" s="2" t="n">
        <v>3898.0</v>
      </c>
      <c r="Q197" s="2" t="n">
        <v>506.0</v>
      </c>
      <c r="R197" s="2" t="n">
        <v>889.0</v>
      </c>
      <c r="S197" s="2" t="inlineStr">
        <is>
          <t>3.82%</t>
        </is>
      </c>
      <c r="T197" s="2" t="inlineStr">
        <is>
          <t>20.6%</t>
        </is>
      </c>
      <c r="U197" s="2" t="inlineStr">
        <is>
          <t>0.0%</t>
        </is>
      </c>
      <c r="V197" s="2"/>
      <c r="W197" s="2" t="inlineStr">
        <is>
          <t>0₽</t>
        </is>
      </c>
      <c r="X197" s="2" t="n">
        <v>1.0</v>
      </c>
      <c r="Y197" s="2"/>
      <c r="Z197" s="2"/>
      <c r="AA197" s="3" t="inlineStr">
        <is>
          <t>2026-06-01
&lt; 1 个月</t>
        </is>
      </c>
      <c r="AB197" s="2" t="inlineStr">
        <is>
          <t/>
        </is>
      </c>
      <c r="AC197" s="2" t="inlineStr">
        <is>
          <t/>
        </is>
      </c>
      <c r="AD197" s="2" t="inlineStr">
        <is>
          <t>HK Free Port Official</t>
        </is>
      </c>
      <c r="AE197" s="2" t="inlineStr">
        <is>
          <t>跨境卖家</t>
        </is>
      </c>
      <c r="AF197" s="2" t="inlineStr">
        <is>
          <t>RFBS</t>
        </is>
      </c>
      <c r="AG197" s="2" t="n">
        <v>0.0</v>
      </c>
    </row>
    <row r="198" customHeight="true" ht="64.0">
      <c r="A198" s="2" t="n">
        <v>197.0</v>
      </c>
      <c r="B198" s="2" t="inlineStr">
        <is>
          <t>https://ir.ozone.ru/s3/multimedia-1-o/wc300/9671725248.jpg</t>
        </is>
      </c>
      <c r="C198" s="2" t="n">
        <f>IF(ISERROR(IMAGE("https://ir.ozone.ru/s3/multimedia-1-o/wc300/9671725248.jpg")),"请使用新版Excel2024查看图片",IMAGE("https://ir.ozone.ru/s3/multimedia-1-o/wc300/9671725248.jpg"))</f>
        <v>0.0</v>
      </c>
      <c r="D198" s="2" t="inlineStr">
        <is>
          <t>Детский велосипед 18 дюймов, детский горный велосипед с переключением скоростей (подходит для детей ростом 130</t>
        </is>
      </c>
      <c r="E198" s="2" t="inlineStr">
        <is>
          <t>https://www.ozon.ru/product/4386874865</t>
        </is>
      </c>
      <c r="F198" s="2" t="n">
        <v>4.386874865E9</v>
      </c>
      <c r="G198" s="2" t="inlineStr">
        <is>
          <t/>
        </is>
      </c>
      <c r="H198" s="3" t="inlineStr">
        <is>
          <t>儿童自行车
Детский велосипед</t>
        </is>
      </c>
      <c r="I198" s="3" t="inlineStr">
        <is>
          <t>跨境卖家可售</t>
        </is>
      </c>
      <c r="J198" s="2" t="inlineStr">
        <is>
          <t>5851₽</t>
        </is>
      </c>
      <c r="K198" s="2" t="n">
        <v>50.0</v>
      </c>
      <c r="L198" s="2" t="inlineStr">
        <is>
          <t>292977₽</t>
        </is>
      </c>
      <c r="M198" s="2" t="inlineStr">
        <is>
          <t>100%</t>
        </is>
      </c>
      <c r="N198" s="2" t="inlineStr">
        <is>
          <t>100%</t>
        </is>
      </c>
      <c r="O198" s="2" t="inlineStr">
        <is>
          <t>53%</t>
        </is>
      </c>
      <c r="P198" s="2" t="n">
        <v>38128.0</v>
      </c>
      <c r="Q198" s="2" t="n">
        <v>109.0</v>
      </c>
      <c r="R198" s="2" t="n">
        <v>22304.0</v>
      </c>
      <c r="S198" s="2" t="inlineStr">
        <is>
          <t>4.07%</t>
        </is>
      </c>
      <c r="T198" s="2" t="inlineStr">
        <is>
          <t>5.5%</t>
        </is>
      </c>
      <c r="U198" s="2" t="inlineStr">
        <is>
          <t>0.0%</t>
        </is>
      </c>
      <c r="V198" s="2"/>
      <c r="W198" s="2" t="inlineStr">
        <is>
          <t>0₽</t>
        </is>
      </c>
      <c r="X198" s="2" t="n">
        <v>20.0</v>
      </c>
      <c r="Y198" s="2" t="n">
        <v>504.0</v>
      </c>
      <c r="Z198" s="2" t="inlineStr">
        <is>
          <t>4.7</t>
        </is>
      </c>
      <c r="AA198" s="3" t="inlineStr">
        <is>
          <t>2026-05-21
&lt; 1 个月</t>
        </is>
      </c>
      <c r="AB198" s="2" t="inlineStr">
        <is>
          <t>20000 g</t>
        </is>
      </c>
      <c r="AC198" s="2" t="inlineStr">
        <is>
          <t>109.14 L</t>
        </is>
      </c>
      <c r="AD198" s="2" t="inlineStr">
        <is>
          <t>Бутик Луна</t>
        </is>
      </c>
      <c r="AE198" s="2" t="inlineStr">
        <is>
          <t>跨境卖家</t>
        </is>
      </c>
      <c r="AF198" s="2" t="inlineStr">
        <is>
          <t>RFBS</t>
        </is>
      </c>
      <c r="AG198" s="2" t="n">
        <v>111.0</v>
      </c>
    </row>
    <row r="199" customHeight="true" ht="64.0">
      <c r="A199" s="2" t="n">
        <v>198.0</v>
      </c>
      <c r="B199" s="2" t="inlineStr">
        <is>
          <t>https://ir.ozone.ru/s3/multimedia-1-x/wc300/10662257769.jpg</t>
        </is>
      </c>
      <c r="C199" s="2" t="n">
        <f>IF(ISERROR(IMAGE("https://ir.ozone.ru/s3/multimedia-1-x/wc300/10662257769.jpg")),"请使用新版Excel2024查看图片",IMAGE("https://ir.ozone.ru/s3/multimedia-1-x/wc300/10662257769.jpg"))</f>
        <v>0.0</v>
      </c>
      <c r="D199" s="2" t="inlineStr">
        <is>
          <t>Sony Наушники, Bluetooth, USB Type-C, белый</t>
        </is>
      </c>
      <c r="E199" s="2" t="inlineStr">
        <is>
          <t>https://www.ozon.ru/product/4387600999</t>
        </is>
      </c>
      <c r="F199" s="2" t="n">
        <v>4.387600999E9</v>
      </c>
      <c r="G199" s="2" t="inlineStr">
        <is>
          <t>Sony</t>
        </is>
      </c>
      <c r="H199" s="3" t="inlineStr">
        <is>
          <t>耳机
Наушники</t>
        </is>
      </c>
      <c r="I199" s="3" t="inlineStr">
        <is>
          <t>跨境卖家可售</t>
        </is>
      </c>
      <c r="J199" s="2" t="inlineStr">
        <is>
          <t>43308₽</t>
        </is>
      </c>
      <c r="K199" s="2" t="n">
        <v>6.0</v>
      </c>
      <c r="L199" s="2" t="inlineStr">
        <is>
          <t>292311₽</t>
        </is>
      </c>
      <c r="M199" s="2" t="inlineStr">
        <is>
          <t>100%</t>
        </is>
      </c>
      <c r="N199" s="2" t="inlineStr">
        <is>
          <t>100%</t>
        </is>
      </c>
      <c r="O199" s="2" t="inlineStr">
        <is>
          <t>48.5%</t>
        </is>
      </c>
      <c r="P199" s="2" t="n">
        <v>4445.0</v>
      </c>
      <c r="Q199" s="2" t="n">
        <v>815.0</v>
      </c>
      <c r="R199" s="2" t="n">
        <v>910.0</v>
      </c>
      <c r="S199" s="2" t="inlineStr">
        <is>
          <t>3.62%</t>
        </is>
      </c>
      <c r="T199" s="2" t="inlineStr">
        <is>
          <t>18.2%</t>
        </is>
      </c>
      <c r="U199" s="2" t="inlineStr">
        <is>
          <t>0.0%</t>
        </is>
      </c>
      <c r="V199" s="2"/>
      <c r="W199" s="2" t="inlineStr">
        <is>
          <t>0₽</t>
        </is>
      </c>
      <c r="X199" s="2" t="n">
        <v>2.0</v>
      </c>
      <c r="Y199" s="2"/>
      <c r="Z199" s="2"/>
      <c r="AA199" s="3" t="inlineStr">
        <is>
          <t>2026-05-21
&lt; 1 个月</t>
        </is>
      </c>
      <c r="AB199" s="2" t="inlineStr">
        <is>
          <t>1200 g</t>
        </is>
      </c>
      <c r="AC199" s="2" t="inlineStr">
        <is>
          <t>0.575 L</t>
        </is>
      </c>
      <c r="AD199" s="2" t="inlineStr">
        <is>
          <t>JBL brand direct sales</t>
        </is>
      </c>
      <c r="AE199" s="2" t="inlineStr">
        <is>
          <t>跨境卖家</t>
        </is>
      </c>
      <c r="AF199" s="2" t="inlineStr">
        <is>
          <t>RFBS</t>
        </is>
      </c>
      <c r="AG199" s="2" t="n">
        <v>3.0</v>
      </c>
    </row>
    <row r="200" customHeight="true" ht="64.0">
      <c r="A200" s="2" t="n">
        <v>199.0</v>
      </c>
      <c r="B200" s="2" t="inlineStr">
        <is>
          <t>https://ir.ozone.ru/s3/multimedia-1-2/wc300/10819420922.jpg</t>
        </is>
      </c>
      <c r="C200" s="2" t="n">
        <f>IF(ISERROR(IMAGE("https://ir.ozone.ru/s3/multimedia-1-2/wc300/10819420922.jpg")),"请使用新版Excel2024查看图片",IMAGE("https://ir.ozone.ru/s3/multimedia-1-2/wc300/10819420922.jpg"))</f>
        <v>0.0</v>
      </c>
      <c r="D200" s="2" t="inlineStr">
        <is>
          <t>Pokemon TCG: Ascended Heroes - Deluxe Pin Collection - Первые партнеры</t>
        </is>
      </c>
      <c r="E200" s="2" t="inlineStr">
        <is>
          <t>https://www.ozon.ru/product/4449932553</t>
        </is>
      </c>
      <c r="F200" s="2" t="n">
        <v>4.449932553E9</v>
      </c>
      <c r="G200" s="2" t="inlineStr">
        <is>
          <t/>
        </is>
      </c>
      <c r="H200" s="3" t="inlineStr">
        <is>
          <t>桌面游戏
Настольная игра</t>
        </is>
      </c>
      <c r="I200" s="3" t="inlineStr">
        <is>
          <t>跨境卖家可售</t>
        </is>
      </c>
      <c r="J200" s="2" t="inlineStr">
        <is>
          <t>7921₽</t>
        </is>
      </c>
      <c r="K200" s="2" t="n">
        <v>38.0</v>
      </c>
      <c r="L200" s="2" t="inlineStr">
        <is>
          <t>291153₽</t>
        </is>
      </c>
      <c r="M200" s="2" t="inlineStr">
        <is>
          <t>100%</t>
        </is>
      </c>
      <c r="N200" s="2" t="inlineStr">
        <is>
          <t>100%</t>
        </is>
      </c>
      <c r="O200" s="2" t="inlineStr">
        <is>
          <t>51%</t>
        </is>
      </c>
      <c r="P200" s="2" t="n">
        <v>2253.0</v>
      </c>
      <c r="Q200" s="2" t="n">
        <v>68.0</v>
      </c>
      <c r="R200" s="2" t="n">
        <v>452.0</v>
      </c>
      <c r="S200" s="2" t="inlineStr">
        <is>
          <t>6.63%</t>
        </is>
      </c>
      <c r="T200" s="2" t="inlineStr">
        <is>
          <t>126.7%</t>
        </is>
      </c>
      <c r="U200" s="2" t="inlineStr">
        <is>
          <t>0.0%</t>
        </is>
      </c>
      <c r="V200" s="2"/>
      <c r="W200" s="2" t="inlineStr">
        <is>
          <t>0₽</t>
        </is>
      </c>
      <c r="X200" s="2" t="n">
        <v>1.0</v>
      </c>
      <c r="Y200" s="2"/>
      <c r="Z200" s="2"/>
      <c r="AA200" s="3" t="inlineStr">
        <is>
          <t>2026-05-26
&lt; 1 个月</t>
        </is>
      </c>
      <c r="AB200" s="2" t="inlineStr">
        <is>
          <t>850 g</t>
        </is>
      </c>
      <c r="AC200" s="2" t="inlineStr">
        <is>
          <t>32 L</t>
        </is>
      </c>
      <c r="AD200" s="2" t="inlineStr">
        <is>
          <t>Toys360</t>
        </is>
      </c>
      <c r="AE200" s="2" t="inlineStr">
        <is>
          <t>跨境卖家</t>
        </is>
      </c>
      <c r="AF200" s="2" t="inlineStr">
        <is>
          <t>RFBS</t>
        </is>
      </c>
      <c r="AG200" s="2" t="n">
        <v>0.0</v>
      </c>
    </row>
    <row r="201" customHeight="true" ht="64.0">
      <c r="A201" s="2" t="n">
        <v>200.0</v>
      </c>
      <c r="B201" s="2" t="inlineStr">
        <is>
          <t>https://ir.ozone.ru/s3/multimedia-1-z/wc300/9286562303.jpg</t>
        </is>
      </c>
      <c r="C201" s="2" t="n">
        <f>IF(ISERROR(IMAGE("https://ir.ozone.ru/s3/multimedia-1-z/wc300/9286562303.jpg")),"请使用新版Excel2024查看图片",IMAGE("https://ir.ozone.ru/s3/multimedia-1-z/wc300/9286562303.jpg"))</f>
        <v>0.0</v>
      </c>
      <c r="D201" s="2" t="inlineStr">
        <is>
          <t xml:space="preserve">Плавник для виндсерфинга </t>
        </is>
      </c>
      <c r="E201" s="2" t="inlineStr">
        <is>
          <t>https://www.ozon.ru/product/4354408366</t>
        </is>
      </c>
      <c r="F201" s="2" t="n">
        <v>4.354408366E9</v>
      </c>
      <c r="G201" s="2" t="inlineStr">
        <is>
          <t/>
        </is>
      </c>
      <c r="H201" s="3" t="inlineStr">
        <is>
          <t>冲浪板专用鱼鳍
Плавник для SUP-доски</t>
        </is>
      </c>
      <c r="I201" s="3" t="inlineStr">
        <is>
          <t>跨境卖家可售</t>
        </is>
      </c>
      <c r="J201" s="2" t="inlineStr">
        <is>
          <t>14305₽</t>
        </is>
      </c>
      <c r="K201" s="2" t="n">
        <v>20.0</v>
      </c>
      <c r="L201" s="2" t="inlineStr">
        <is>
          <t>291135₽</t>
        </is>
      </c>
      <c r="M201" s="2" t="inlineStr">
        <is>
          <t>100%</t>
        </is>
      </c>
      <c r="N201" s="2" t="inlineStr">
        <is>
          <t>100%</t>
        </is>
      </c>
      <c r="O201" s="2" t="inlineStr">
        <is>
          <t>51.6%</t>
        </is>
      </c>
      <c r="P201" s="2" t="n">
        <v>2790.0</v>
      </c>
      <c r="Q201" s="2" t="n">
        <v>458.0</v>
      </c>
      <c r="R201" s="2" t="n">
        <v>930.0</v>
      </c>
      <c r="S201" s="2" t="inlineStr">
        <is>
          <t>4.4%</t>
        </is>
      </c>
      <c r="T201" s="2" t="inlineStr">
        <is>
          <t>48.8%</t>
        </is>
      </c>
      <c r="U201" s="2" t="inlineStr">
        <is>
          <t>0.09%</t>
        </is>
      </c>
      <c r="V201" s="2"/>
      <c r="W201" s="2" t="inlineStr">
        <is>
          <t>0₽</t>
        </is>
      </c>
      <c r="X201" s="2" t="n">
        <v>3.0</v>
      </c>
      <c r="Y201" s="2"/>
      <c r="Z201" s="2"/>
      <c r="AA201" s="3" t="inlineStr">
        <is>
          <t>2026-05-18
&lt; 1 个月</t>
        </is>
      </c>
      <c r="AB201" s="2" t="inlineStr">
        <is>
          <t>5500 g</t>
        </is>
      </c>
      <c r="AC201" s="2" t="inlineStr">
        <is>
          <t>29.4 L</t>
        </is>
      </c>
      <c r="AD201" s="2" t="inlineStr">
        <is>
          <t>WarmHome</t>
        </is>
      </c>
      <c r="AE201" s="2" t="inlineStr">
        <is>
          <t>跨境卖家</t>
        </is>
      </c>
      <c r="AF201" s="2" t="inlineStr">
        <is>
          <t>RFBS</t>
        </is>
      </c>
      <c r="AG201" s="2" t="n">
        <v>1.0</v>
      </c>
    </row>
  </sheetData>
  <mergeCells count="1">
    <mergeCell ref="B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2026-06-14T09:10:25Z</dcterms:created>
  <dc:creator>seerfar</dc:creator>
</cp:coreProperties>
</file>